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\Downloads\"/>
    </mc:Choice>
  </mc:AlternateContent>
  <xr:revisionPtr revIDLastSave="0" documentId="8_{33470024-9B1B-4BFE-9738-A6E6C237AFE2}" xr6:coauthVersionLast="47" xr6:coauthVersionMax="47" xr10:uidLastSave="{00000000-0000-0000-0000-000000000000}"/>
  <bookViews>
    <workbookView xWindow="9450" yWindow="-16320" windowWidth="29040" windowHeight="16440" tabRatio="500" xr2:uid="{00000000-000D-0000-FFFF-FFFF00000000}"/>
  </bookViews>
  <sheets>
    <sheet name="Cashflow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8" i="1" l="1"/>
  <c r="C167" i="1"/>
  <c r="B167" i="1"/>
  <c r="B161" i="1"/>
  <c r="D161" i="1" s="1"/>
  <c r="F161" i="1" s="1"/>
  <c r="B160" i="1"/>
  <c r="D160" i="1" s="1"/>
  <c r="F160" i="1" s="1"/>
  <c r="B159" i="1"/>
  <c r="D159" i="1" s="1"/>
  <c r="F159" i="1" s="1"/>
  <c r="D158" i="1"/>
  <c r="F158" i="1" s="1"/>
  <c r="B157" i="1"/>
  <c r="D157" i="1" s="1"/>
  <c r="B154" i="1"/>
  <c r="C153" i="1"/>
  <c r="C152" i="1"/>
  <c r="B124" i="1"/>
  <c r="N110" i="1"/>
  <c r="M110" i="1"/>
  <c r="L110" i="1"/>
  <c r="J110" i="1"/>
  <c r="I110" i="1"/>
  <c r="H110" i="1"/>
  <c r="G110" i="1"/>
  <c r="F110" i="1"/>
  <c r="E110" i="1"/>
  <c r="D110" i="1"/>
  <c r="C110" i="1"/>
  <c r="N109" i="1"/>
  <c r="M109" i="1"/>
  <c r="L109" i="1"/>
  <c r="K109" i="1"/>
  <c r="J109" i="1"/>
  <c r="I109" i="1"/>
  <c r="H109" i="1"/>
  <c r="G109" i="1"/>
  <c r="F109" i="1"/>
  <c r="E109" i="1"/>
  <c r="D109" i="1"/>
  <c r="B105" i="1"/>
  <c r="B99" i="1"/>
  <c r="N95" i="1"/>
  <c r="M95" i="1"/>
  <c r="L95" i="1"/>
  <c r="J95" i="1"/>
  <c r="I95" i="1"/>
  <c r="H95" i="1"/>
  <c r="G95" i="1"/>
  <c r="F95" i="1"/>
  <c r="E95" i="1"/>
  <c r="D95" i="1"/>
  <c r="C95" i="1"/>
  <c r="B94" i="1"/>
  <c r="B93" i="1"/>
  <c r="B90" i="1"/>
  <c r="B87" i="1"/>
  <c r="B86" i="1"/>
  <c r="B85" i="1"/>
  <c r="B84" i="1"/>
  <c r="B83" i="1"/>
  <c r="B82" i="1"/>
  <c r="B81" i="1"/>
  <c r="B80" i="1"/>
  <c r="N76" i="1"/>
  <c r="M76" i="1"/>
  <c r="L76" i="1"/>
  <c r="J76" i="1"/>
  <c r="I76" i="1"/>
  <c r="H76" i="1"/>
  <c r="G76" i="1"/>
  <c r="F76" i="1"/>
  <c r="E76" i="1"/>
  <c r="D76" i="1"/>
  <c r="C76" i="1"/>
  <c r="B71" i="1"/>
  <c r="N66" i="1"/>
  <c r="M66" i="1"/>
  <c r="L66" i="1"/>
  <c r="K66" i="1"/>
  <c r="J66" i="1"/>
  <c r="I66" i="1"/>
  <c r="H66" i="1"/>
  <c r="G66" i="1"/>
  <c r="F66" i="1"/>
  <c r="E66" i="1"/>
  <c r="B66" i="1" s="1"/>
  <c r="B68" i="1" s="1"/>
  <c r="D66" i="1"/>
  <c r="C66" i="1"/>
  <c r="N61" i="1"/>
  <c r="M61" i="1"/>
  <c r="L61" i="1"/>
  <c r="K61" i="1"/>
  <c r="J61" i="1"/>
  <c r="I61" i="1"/>
  <c r="H61" i="1"/>
  <c r="G61" i="1"/>
  <c r="B61" i="1" s="1"/>
  <c r="B63" i="1" s="1"/>
  <c r="F61" i="1"/>
  <c r="E61" i="1"/>
  <c r="D61" i="1"/>
  <c r="C61" i="1"/>
  <c r="N56" i="1"/>
  <c r="M56" i="1"/>
  <c r="L56" i="1"/>
  <c r="K56" i="1"/>
  <c r="J56" i="1"/>
  <c r="I56" i="1"/>
  <c r="H56" i="1"/>
  <c r="G56" i="1"/>
  <c r="F56" i="1"/>
  <c r="E56" i="1"/>
  <c r="D56" i="1"/>
  <c r="C56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 s="1"/>
  <c r="N47" i="1"/>
  <c r="H47" i="1"/>
  <c r="G47" i="1"/>
  <c r="F47" i="1"/>
  <c r="N46" i="1"/>
  <c r="M46" i="1"/>
  <c r="M47" i="1" s="1"/>
  <c r="L46" i="1"/>
  <c r="K46" i="1"/>
  <c r="J46" i="1"/>
  <c r="J45" i="1" s="1"/>
  <c r="I46" i="1"/>
  <c r="I45" i="1" s="1"/>
  <c r="H46" i="1"/>
  <c r="G46" i="1"/>
  <c r="F46" i="1"/>
  <c r="E46" i="1"/>
  <c r="E47" i="1" s="1"/>
  <c r="D46" i="1"/>
  <c r="D47" i="1" s="1"/>
  <c r="C46" i="1"/>
  <c r="C47" i="1" s="1"/>
  <c r="N45" i="1"/>
  <c r="N43" i="1" s="1"/>
  <c r="M45" i="1"/>
  <c r="H45" i="1"/>
  <c r="G45" i="1"/>
  <c r="F45" i="1"/>
  <c r="D45" i="1"/>
  <c r="J43" i="1"/>
  <c r="I43" i="1"/>
  <c r="H43" i="1"/>
  <c r="D27" i="1"/>
  <c r="C45" i="1" l="1"/>
  <c r="D43" i="1"/>
  <c r="B151" i="1"/>
  <c r="C168" i="1"/>
  <c r="E45" i="1"/>
  <c r="E43" i="1" s="1"/>
  <c r="B106" i="1"/>
  <c r="F43" i="1"/>
  <c r="H88" i="1"/>
  <c r="G43" i="1"/>
  <c r="I88" i="1"/>
  <c r="I47" i="1"/>
  <c r="M43" i="1"/>
  <c r="J47" i="1"/>
  <c r="B56" i="1"/>
  <c r="B58" i="1" s="1"/>
  <c r="H75" i="1"/>
  <c r="I75" i="1"/>
  <c r="J75" i="1"/>
  <c r="J88" i="1"/>
  <c r="K47" i="1"/>
  <c r="K45" i="1"/>
  <c r="K43" i="1" s="1"/>
  <c r="L47" i="1"/>
  <c r="L45" i="1"/>
  <c r="L43" i="1" s="1"/>
  <c r="N75" i="1"/>
  <c r="N88" i="1"/>
  <c r="B47" i="1"/>
  <c r="D28" i="1"/>
  <c r="D162" i="1"/>
  <c r="F157" i="1"/>
  <c r="F162" i="1" s="1"/>
  <c r="M75" i="1" l="1"/>
  <c r="M88" i="1"/>
  <c r="G75" i="1"/>
  <c r="G88" i="1"/>
  <c r="L88" i="1"/>
  <c r="L75" i="1"/>
  <c r="F75" i="1"/>
  <c r="F88" i="1"/>
  <c r="E112" i="1"/>
  <c r="B152" i="1"/>
  <c r="D112" i="1"/>
  <c r="C112" i="1"/>
  <c r="M112" i="1"/>
  <c r="L112" i="1"/>
  <c r="K112" i="1"/>
  <c r="J112" i="1"/>
  <c r="N112" i="1"/>
  <c r="H112" i="1"/>
  <c r="G112" i="1"/>
  <c r="F112" i="1"/>
  <c r="I112" i="1"/>
  <c r="K88" i="1"/>
  <c r="K75" i="1"/>
  <c r="E88" i="1"/>
  <c r="E75" i="1"/>
  <c r="B118" i="1"/>
  <c r="D88" i="1"/>
  <c r="D75" i="1"/>
  <c r="B45" i="1"/>
  <c r="B48" i="1" s="1"/>
  <c r="C43" i="1"/>
  <c r="C75" i="1" l="1"/>
  <c r="C88" i="1"/>
  <c r="B43" i="1"/>
  <c r="C119" i="1"/>
  <c r="B153" i="1"/>
  <c r="C109" i="1"/>
  <c r="C111" i="1" l="1"/>
  <c r="B109" i="1"/>
  <c r="B88" i="1"/>
  <c r="K95" i="1" s="1"/>
  <c r="B75" i="1"/>
  <c r="C74" i="1"/>
  <c r="D74" i="1" s="1"/>
  <c r="E74" i="1" s="1"/>
  <c r="F74" i="1" s="1"/>
  <c r="G74" i="1" s="1"/>
  <c r="H74" i="1" s="1"/>
  <c r="I74" i="1" s="1"/>
  <c r="J74" i="1" s="1"/>
  <c r="B95" i="1" l="1"/>
  <c r="K76" i="1"/>
  <c r="D111" i="1"/>
  <c r="C123" i="1"/>
  <c r="C98" i="1" s="1"/>
  <c r="C125" i="1"/>
  <c r="C100" i="1" s="1"/>
  <c r="C126" i="1" l="1"/>
  <c r="C102" i="1"/>
  <c r="E111" i="1"/>
  <c r="D123" i="1"/>
  <c r="D98" i="1" s="1"/>
  <c r="D125" i="1"/>
  <c r="D100" i="1" s="1"/>
  <c r="B76" i="1"/>
  <c r="K74" i="1"/>
  <c r="L74" i="1" s="1"/>
  <c r="M74" i="1" s="1"/>
  <c r="N74" i="1" s="1"/>
  <c r="D126" i="1" l="1"/>
  <c r="D102" i="1"/>
  <c r="F111" i="1"/>
  <c r="E123" i="1"/>
  <c r="E98" i="1" s="1"/>
  <c r="E125" i="1"/>
  <c r="E100" i="1" s="1"/>
  <c r="C134" i="1"/>
  <c r="C129" i="1"/>
  <c r="C171" i="1"/>
  <c r="D171" i="1"/>
  <c r="E126" i="1" l="1"/>
  <c r="E102" i="1"/>
  <c r="C130" i="1"/>
  <c r="C133" i="1"/>
  <c r="G111" i="1"/>
  <c r="F123" i="1"/>
  <c r="F98" i="1"/>
  <c r="F125" i="1"/>
  <c r="F100" i="1" s="1"/>
  <c r="D129" i="1"/>
  <c r="D134" i="1"/>
  <c r="D133" i="1" s="1"/>
  <c r="F126" i="1" l="1"/>
  <c r="F102" i="1"/>
  <c r="G123" i="1"/>
  <c r="G98" i="1" s="1"/>
  <c r="H111" i="1"/>
  <c r="G125" i="1"/>
  <c r="G100" i="1" s="1"/>
  <c r="D130" i="1"/>
  <c r="E129" i="1"/>
  <c r="E134" i="1"/>
  <c r="E133" i="1" s="1"/>
  <c r="F171" i="1"/>
  <c r="E171" i="1"/>
  <c r="H123" i="1" l="1"/>
  <c r="H98" i="1" s="1"/>
  <c r="I111" i="1"/>
  <c r="H125" i="1"/>
  <c r="H100" i="1" s="1"/>
  <c r="F129" i="1"/>
  <c r="F134" i="1"/>
  <c r="F133" i="1" s="1"/>
  <c r="E130" i="1"/>
  <c r="F130" i="1" s="1"/>
  <c r="G126" i="1"/>
  <c r="G102" i="1"/>
  <c r="G129" i="1" l="1"/>
  <c r="G134" i="1"/>
  <c r="G171" i="1"/>
  <c r="G130" i="1"/>
  <c r="H126" i="1"/>
  <c r="H102" i="1"/>
  <c r="I123" i="1"/>
  <c r="J111" i="1"/>
  <c r="I98" i="1"/>
  <c r="I125" i="1"/>
  <c r="I100" i="1" s="1"/>
  <c r="G133" i="1" l="1"/>
  <c r="I126" i="1"/>
  <c r="I171" i="1" s="1"/>
  <c r="I102" i="1"/>
  <c r="K110" i="1"/>
  <c r="B110" i="1" s="1"/>
  <c r="J123" i="1"/>
  <c r="J98" i="1" s="1"/>
  <c r="J125" i="1"/>
  <c r="J100" i="1" s="1"/>
  <c r="H129" i="1"/>
  <c r="H130" i="1" s="1"/>
  <c r="H134" i="1"/>
  <c r="H133" i="1" s="1"/>
  <c r="H171" i="1"/>
  <c r="J126" i="1" l="1"/>
  <c r="J102" i="1"/>
  <c r="B174" i="1"/>
  <c r="K111" i="1"/>
  <c r="I129" i="1"/>
  <c r="I130" i="1" s="1"/>
  <c r="I134" i="1"/>
  <c r="I133" i="1" s="1"/>
  <c r="K98" i="1" l="1"/>
  <c r="L111" i="1"/>
  <c r="K123" i="1"/>
  <c r="K125" i="1"/>
  <c r="K100" i="1" s="1"/>
  <c r="J129" i="1"/>
  <c r="J130" i="1" s="1"/>
  <c r="J134" i="1"/>
  <c r="J133" i="1" s="1"/>
  <c r="J171" i="1"/>
  <c r="L98" i="1" l="1"/>
  <c r="M111" i="1"/>
  <c r="L123" i="1"/>
  <c r="L125" i="1"/>
  <c r="L100" i="1" s="1"/>
  <c r="K126" i="1"/>
  <c r="K171" i="1" s="1"/>
  <c r="K102" i="1"/>
  <c r="K129" i="1" l="1"/>
  <c r="K130" i="1" s="1"/>
  <c r="K134" i="1"/>
  <c r="K133" i="1" s="1"/>
  <c r="M123" i="1"/>
  <c r="M98" i="1"/>
  <c r="N111" i="1"/>
  <c r="M125" i="1"/>
  <c r="M100" i="1" s="1"/>
  <c r="L126" i="1"/>
  <c r="L171" i="1" s="1"/>
  <c r="L102" i="1"/>
  <c r="L129" i="1" l="1"/>
  <c r="L134" i="1"/>
  <c r="L133" i="1" s="1"/>
  <c r="N123" i="1"/>
  <c r="N98" i="1"/>
  <c r="N125" i="1"/>
  <c r="N100" i="1" s="1"/>
  <c r="B100" i="1" s="1"/>
  <c r="M126" i="1"/>
  <c r="M171" i="1" s="1"/>
  <c r="M102" i="1"/>
  <c r="L130" i="1"/>
  <c r="M129" i="1" l="1"/>
  <c r="M130" i="1" s="1"/>
  <c r="M134" i="1"/>
  <c r="M133" i="1" s="1"/>
  <c r="N126" i="1"/>
  <c r="N102" i="1"/>
  <c r="B98" i="1"/>
  <c r="N171" i="1" l="1"/>
  <c r="B126" i="1"/>
  <c r="N134" i="1"/>
  <c r="N129" i="1"/>
  <c r="B129" i="1" s="1"/>
  <c r="B102" i="1"/>
  <c r="B130" i="1" l="1"/>
  <c r="B148" i="1" s="1"/>
  <c r="B147" i="1"/>
  <c r="N133" i="1"/>
  <c r="B134" i="1"/>
  <c r="N130" i="1"/>
  <c r="B171" i="1"/>
  <c r="D29" i="1"/>
  <c r="B163" i="1"/>
  <c r="B164" i="1" s="1"/>
  <c r="B175" i="1" s="1"/>
  <c r="B135" i="1"/>
  <c r="B137" i="1" l="1"/>
  <c r="B136" i="1"/>
  <c r="B177" i="1" l="1"/>
  <c r="B176" i="1"/>
</calcChain>
</file>

<file path=xl/sharedStrings.xml><?xml version="1.0" encoding="utf-8"?>
<sst xmlns="http://schemas.openxmlformats.org/spreadsheetml/2006/main" count="480" uniqueCount="158">
  <si>
    <t>Калькулятор Cashflow проектного финансирования (214-ФЗ)</t>
  </si>
  <si>
    <t>Учебный пример — данные вымышленные</t>
  </si>
  <si>
    <t>ПАРАМЕТРЫ ПРОЕКТА</t>
  </si>
  <si>
    <t>Название ЖК</t>
  </si>
  <si>
    <t>ЖК Учебный</t>
  </si>
  <si>
    <t>Проценты и комиссии:</t>
  </si>
  <si>
    <t>Проектный кредит</t>
  </si>
  <si>
    <t>Бридж-кредит</t>
  </si>
  <si>
    <t>КБП</t>
  </si>
  <si>
    <t>Плата за резервирование</t>
  </si>
  <si>
    <t>Плата за пользование лимитом кредитной линии</t>
  </si>
  <si>
    <t>Базовая ставка - Спред к КС ЦБ до передачи по ДДУ</t>
  </si>
  <si>
    <t>Базовая ставка - Спред к КС ЦБ после передачи по ДДУ</t>
  </si>
  <si>
    <t>Льготная ставка</t>
  </si>
  <si>
    <t>Трансфертная ставка фондирования ЭСКРОУ (дисконт)</t>
  </si>
  <si>
    <t>Отсрочка %% по бриджу</t>
  </si>
  <si>
    <t>да</t>
  </si>
  <si>
    <t>Капитализация %% ПФ</t>
  </si>
  <si>
    <t>ПЛОЩАДИ</t>
  </si>
  <si>
    <t>Общая площадь объекта (ГБА), кв.м.</t>
  </si>
  <si>
    <t>Средняя площадь квартиры, кв.м.</t>
  </si>
  <si>
    <t>Средняя площадь апартамента, кв.м.</t>
  </si>
  <si>
    <t>Средняя площадь машиноместа, кв.м.</t>
  </si>
  <si>
    <t>Доля площадей, продаваемых с НДС</t>
  </si>
  <si>
    <t>СТАВКИ НАЛОГОВ И КОЭФФИЦИЕНТЫ</t>
  </si>
  <si>
    <t>На имущество</t>
  </si>
  <si>
    <t>LTC</t>
  </si>
  <si>
    <t>На прибыль</t>
  </si>
  <si>
    <t>Продажи ИнФ</t>
  </si>
  <si>
    <t>НДС</t>
  </si>
  <si>
    <t>Стр. с/ст</t>
  </si>
  <si>
    <t>Ключевая ставка ЦБ</t>
  </si>
  <si>
    <t>Инв. с/ст</t>
  </si>
  <si>
    <t>Календарный год начала прогнозирования</t>
  </si>
  <si>
    <t>Эфф. Ставка</t>
  </si>
  <si>
    <t>Календарный квартал начала прогнозирования</t>
  </si>
  <si>
    <t>Квартал получения РНС</t>
  </si>
  <si>
    <t>Квартал получения РВЗ</t>
  </si>
  <si>
    <t>Срок доступности кредитной линии</t>
  </si>
  <si>
    <t>Коммерческие расходы / Маркетинг</t>
  </si>
  <si>
    <t>Используем цены клиента</t>
  </si>
  <si>
    <t>нет</t>
  </si>
  <si>
    <t>Темп продаж в квартал</t>
  </si>
  <si>
    <t>данные в тыс. руб.</t>
  </si>
  <si>
    <t>ИТОГО</t>
  </si>
  <si>
    <t>1 кв.2026</t>
  </si>
  <si>
    <t>2 кв.2026</t>
  </si>
  <si>
    <t>3 кв.2026</t>
  </si>
  <si>
    <t>4 кв.2026</t>
  </si>
  <si>
    <t>1 кв.2027</t>
  </si>
  <si>
    <t>2 кв.2027</t>
  </si>
  <si>
    <t>3 кв.2027</t>
  </si>
  <si>
    <t>4 кв.2027</t>
  </si>
  <si>
    <t>1 кв.2028</t>
  </si>
  <si>
    <t>2 кв.2028</t>
  </si>
  <si>
    <t>3 кв.2028</t>
  </si>
  <si>
    <t>4 кв.2028</t>
  </si>
  <si>
    <t>ПОСТУПЛЕНИЯ ОТ РЕАЛИЗАЦИИ</t>
  </si>
  <si>
    <t>Поступления средств от реализации площадей (модельная оценка)</t>
  </si>
  <si>
    <t>Выручка от контрактации квартир</t>
  </si>
  <si>
    <t xml:space="preserve">    Квартиры, кв.м.</t>
  </si>
  <si>
    <t xml:space="preserve">    Квартиры, шт.</t>
  </si>
  <si>
    <t xml:space="preserve">    ср. цена реализации 1 кв.м.</t>
  </si>
  <si>
    <t>банк</t>
  </si>
  <si>
    <t>Выручка от контрактации апартаментов</t>
  </si>
  <si>
    <t xml:space="preserve">    Апартаменты, кв.м.</t>
  </si>
  <si>
    <t xml:space="preserve">    Апартаменты, шт.</t>
  </si>
  <si>
    <t>0</t>
  </si>
  <si>
    <t>Выручка от контрактации нежилых площадей</t>
  </si>
  <si>
    <t xml:space="preserve">    Комм. площади, кв.м.</t>
  </si>
  <si>
    <t>Выручка от контрактации машиномест</t>
  </si>
  <si>
    <t xml:space="preserve">    Машиноместа, шт.</t>
  </si>
  <si>
    <t xml:space="preserve">    ср. цена реализации 1 шт.</t>
  </si>
  <si>
    <t>Выручка от контрактации кладовых</t>
  </si>
  <si>
    <t xml:space="preserve">    Кладовые, кв.м.</t>
  </si>
  <si>
    <t>Выручка от возмещения за социальные объекты</t>
  </si>
  <si>
    <t>ЭСКРОУ, тыс. руб.</t>
  </si>
  <si>
    <t xml:space="preserve">    Остаток денежных средств на счетах ЭСКРОУ</t>
  </si>
  <si>
    <t xml:space="preserve">    Зачисление средств на ЭСКРОУ</t>
  </si>
  <si>
    <t xml:space="preserve">    Списание средств с ЭСКРОУ</t>
  </si>
  <si>
    <t>РАСХОДЫ, тыс. руб.</t>
  </si>
  <si>
    <t>Затраты на строительство</t>
  </si>
  <si>
    <t xml:space="preserve">    Текущая рыночная стоимость зем. участка</t>
  </si>
  <si>
    <t xml:space="preserve">    Аренда ЗУ/плата за изменение ВРИ</t>
  </si>
  <si>
    <t xml:space="preserve">    Проектирование</t>
  </si>
  <si>
    <t xml:space="preserve">    СМР</t>
  </si>
  <si>
    <t xml:space="preserve">    Сети</t>
  </si>
  <si>
    <t xml:space="preserve">    Соц. объекты</t>
  </si>
  <si>
    <t xml:space="preserve">    Непредвиденные расходы</t>
  </si>
  <si>
    <t xml:space="preserve">    АУР</t>
  </si>
  <si>
    <t xml:space="preserve">    Маркетинг и расходы на продажу</t>
  </si>
  <si>
    <t>Расходы после ввода в эксплуатацию</t>
  </si>
  <si>
    <t>Налоги</t>
  </si>
  <si>
    <t xml:space="preserve">    Налог на имущество</t>
  </si>
  <si>
    <t xml:space="preserve">    НДС</t>
  </si>
  <si>
    <t xml:space="preserve">    Налог на прибыль</t>
  </si>
  <si>
    <t>Обслуживание кредита</t>
  </si>
  <si>
    <t xml:space="preserve">    Оплата процентов</t>
  </si>
  <si>
    <t xml:space="preserve">    Оплата платы за пользование лимитом</t>
  </si>
  <si>
    <t xml:space="preserve">    Плата за резервирование</t>
  </si>
  <si>
    <t>Расходы</t>
  </si>
  <si>
    <t>ФИНАНСИРОВАНИЕ, тыс. руб.</t>
  </si>
  <si>
    <t>Стоимость проекта (СМР+земля+проектирование)</t>
  </si>
  <si>
    <t>Лимит кредитования</t>
  </si>
  <si>
    <t>Кредит ГПБ (проектное финансирование)</t>
  </si>
  <si>
    <t xml:space="preserve">    Привлечение кредита</t>
  </si>
  <si>
    <t xml:space="preserve">    Погашение кредита</t>
  </si>
  <si>
    <t xml:space="preserve">    ОСЗ на конец периода</t>
  </si>
  <si>
    <t xml:space="preserve">    Лимит кредитования</t>
  </si>
  <si>
    <t>Бридж кредит ГПБ</t>
  </si>
  <si>
    <t>Собственные средства</t>
  </si>
  <si>
    <t xml:space="preserve">    Привлечение собственных средств на стройку</t>
  </si>
  <si>
    <t xml:space="preserve">    Привлечение собственных средств на %%</t>
  </si>
  <si>
    <t xml:space="preserve">    Вывод собственных средств</t>
  </si>
  <si>
    <t>Покрытие эскроу (доля ОСЗ)</t>
  </si>
  <si>
    <t>Полная ставка (КС+спред)</t>
  </si>
  <si>
    <t>Неиспользованный лимит</t>
  </si>
  <si>
    <t>Итого обслуживание кредита</t>
  </si>
  <si>
    <t>ИТОГОВЫЕ ПОКАЗАТЕЛИ</t>
  </si>
  <si>
    <t>Чистый денежный поток</t>
  </si>
  <si>
    <t>Чистый денежный поток накопительным итогом</t>
  </si>
  <si>
    <t>DSCR</t>
  </si>
  <si>
    <t>ISCR</t>
  </si>
  <si>
    <t>CFADS</t>
  </si>
  <si>
    <t>Долг+%%</t>
  </si>
  <si>
    <t>CFADS/DS</t>
  </si>
  <si>
    <t>CFADS/DS до налогов</t>
  </si>
  <si>
    <t>Кредит ГПБ (под будущую прибыль)</t>
  </si>
  <si>
    <t>Чистый денежный поток после КБП</t>
  </si>
  <si>
    <t>ЧДП накопительным итогом после КБП</t>
  </si>
  <si>
    <t>СТРУКТУРА ФИНАНСИРОВАНИЯ</t>
  </si>
  <si>
    <t xml:space="preserve">    Итого</t>
  </si>
  <si>
    <t xml:space="preserve">    кредит</t>
  </si>
  <si>
    <t xml:space="preserve">    собственные, в т.ч.</t>
  </si>
  <si>
    <t xml:space="preserve">    рыночная стоимость ЗУ</t>
  </si>
  <si>
    <t>Оценка обеспечения</t>
  </si>
  <si>
    <t>тыс.руб./кв.м.</t>
  </si>
  <si>
    <t>ОС</t>
  </si>
  <si>
    <t>дисконт</t>
  </si>
  <si>
    <t>ЗС</t>
  </si>
  <si>
    <t xml:space="preserve">    Квартиры</t>
  </si>
  <si>
    <t xml:space="preserve">    Апартаменты</t>
  </si>
  <si>
    <t xml:space="preserve">    Комм. площади</t>
  </si>
  <si>
    <t xml:space="preserve">    Машиноместа</t>
  </si>
  <si>
    <t xml:space="preserve">    Кладовки</t>
  </si>
  <si>
    <t>Обеспеченность</t>
  </si>
  <si>
    <t xml:space="preserve">    лимит+%</t>
  </si>
  <si>
    <t xml:space="preserve">    Обеспеченность, %</t>
  </si>
  <si>
    <t>Себестоимость 1 кв.м.</t>
  </si>
  <si>
    <t xml:space="preserve">    Строительная</t>
  </si>
  <si>
    <t xml:space="preserve">    Инвестиционная</t>
  </si>
  <si>
    <t>ЭФФЕКТИВНАЯ СТАВКА ПО КРЕДИТУ</t>
  </si>
  <si>
    <t>Эффективная ставка по кредиту</t>
  </si>
  <si>
    <t>ПРОВЕРКА МОДЕЛИ</t>
  </si>
  <si>
    <t>Погашение кредита</t>
  </si>
  <si>
    <t>Достаточность обеспечения</t>
  </si>
  <si>
    <t>Чувствительность не менее 15%</t>
  </si>
  <si>
    <t>DSCR &gt;=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</si>
</sst>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999999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9"/>
      <color rgb="FF1F4E79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color rgb="FF006100"/>
      <name val="Arial"/>
      <charset val="1"/>
    </font>
    <font>
      <i/>
      <sz val="8"/>
      <color rgb="FF999999"/>
      <name val="Arial"/>
      <charset val="1"/>
    </font>
    <font>
      <b/>
      <sz val="12"/>
      <color rgb="FF1F4E79"/>
      <name val="Arial"/>
      <charset val="1"/>
    </font>
    <font>
      <i/>
      <sz val="9"/>
      <name val="Arial"/>
      <charset val="1"/>
    </font>
    <font>
      <b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164" fontId="5" fillId="2" borderId="0" xfId="0" applyNumberFormat="1" applyFont="1" applyFill="1"/>
    <xf numFmtId="3" fontId="5" fillId="2" borderId="0" xfId="0" applyNumberFormat="1" applyFont="1" applyFill="1"/>
    <xf numFmtId="2" fontId="5" fillId="2" borderId="0" xfId="0" applyNumberFormat="1" applyFont="1" applyFill="1"/>
    <xf numFmtId="165" fontId="5" fillId="2" borderId="0" xfId="0" applyNumberFormat="1" applyFont="1" applyFill="1"/>
    <xf numFmtId="165" fontId="4" fillId="0" borderId="0" xfId="0" applyNumberFormat="1" applyFont="1"/>
    <xf numFmtId="10" fontId="4" fillId="0" borderId="0" xfId="0" applyNumberFormat="1" applyFont="1"/>
    <xf numFmtId="164" fontId="5" fillId="2" borderId="1" xfId="0" applyNumberFormat="1" applyFont="1" applyFill="1" applyBorder="1"/>
    <xf numFmtId="0" fontId="8" fillId="0" borderId="0" xfId="0" applyFont="1"/>
    <xf numFmtId="0" fontId="9" fillId="3" borderId="1" xfId="0" applyFont="1" applyFill="1" applyBorder="1" applyAlignment="1">
      <alignment horizontal="center"/>
    </xf>
    <xf numFmtId="0" fontId="10" fillId="0" borderId="0" xfId="0" applyFont="1"/>
    <xf numFmtId="3" fontId="6" fillId="0" borderId="1" xfId="0" applyNumberFormat="1" applyFont="1" applyBorder="1"/>
    <xf numFmtId="3" fontId="4" fillId="0" borderId="1" xfId="0" applyNumberFormat="1" applyFont="1" applyBorder="1"/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0" fontId="11" fillId="0" borderId="0" xfId="0" applyFont="1"/>
    <xf numFmtId="3" fontId="4" fillId="0" borderId="0" xfId="0" applyNumberFormat="1" applyFont="1"/>
    <xf numFmtId="164" fontId="4" fillId="0" borderId="1" xfId="0" applyNumberFormat="1" applyFont="1" applyBorder="1"/>
    <xf numFmtId="164" fontId="4" fillId="0" borderId="0" xfId="0" applyNumberFormat="1" applyFont="1"/>
    <xf numFmtId="3" fontId="6" fillId="0" borderId="0" xfId="0" applyNumberFormat="1" applyFont="1"/>
    <xf numFmtId="2" fontId="4" fillId="0" borderId="1" xfId="0" applyNumberFormat="1" applyFont="1" applyBorder="1"/>
    <xf numFmtId="0" fontId="12" fillId="0" borderId="0" xfId="0" applyFont="1"/>
    <xf numFmtId="2" fontId="12" fillId="4" borderId="0" xfId="0" applyNumberFormat="1" applyFont="1" applyFill="1"/>
    <xf numFmtId="2" fontId="4" fillId="0" borderId="0" xfId="0" applyNumberFormat="1" applyFont="1"/>
    <xf numFmtId="0" fontId="13" fillId="0" borderId="0" xfId="0" applyFont="1"/>
    <xf numFmtId="0" fontId="14" fillId="0" borderId="0" xfId="0" applyFont="1"/>
    <xf numFmtId="164" fontId="6" fillId="0" borderId="0" xfId="0" applyNumberFormat="1" applyFont="1"/>
    <xf numFmtId="10" fontId="4" fillId="0" borderId="1" xfId="0" applyNumberFormat="1" applyFont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tabSelected="1" topLeftCell="A32" zoomScaleNormal="100" workbookViewId="0">
      <pane xSplit="2" topLeftCell="C1" activePane="topRight" state="frozen"/>
      <selection activeCell="A41" sqref="A41"/>
      <selection pane="topRight" activeCell="A43" sqref="A43"/>
    </sheetView>
  </sheetViews>
  <sheetFormatPr defaultColWidth="8.6640625" defaultRowHeight="14.25" x14ac:dyDescent="0.45"/>
  <cols>
    <col min="1" max="1" width="48" customWidth="1"/>
    <col min="2" max="2" width="16" customWidth="1"/>
    <col min="3" max="14" width="14" customWidth="1"/>
  </cols>
  <sheetData>
    <row r="1" spans="1:4" ht="17.649999999999999" x14ac:dyDescent="0.5">
      <c r="A1" s="1" t="s">
        <v>0</v>
      </c>
    </row>
    <row r="2" spans="1:4" x14ac:dyDescent="0.45">
      <c r="A2" s="2" t="s">
        <v>1</v>
      </c>
    </row>
    <row r="4" spans="1:4" x14ac:dyDescent="0.45">
      <c r="A4" s="3" t="s">
        <v>2</v>
      </c>
    </row>
    <row r="5" spans="1:4" x14ac:dyDescent="0.45">
      <c r="A5" s="4" t="s">
        <v>3</v>
      </c>
      <c r="B5" s="5" t="s">
        <v>4</v>
      </c>
    </row>
    <row r="7" spans="1:4" x14ac:dyDescent="0.45">
      <c r="A7" s="6" t="s">
        <v>5</v>
      </c>
      <c r="B7" s="7" t="s">
        <v>6</v>
      </c>
      <c r="C7" s="7" t="s">
        <v>7</v>
      </c>
      <c r="D7" s="7" t="s">
        <v>8</v>
      </c>
    </row>
    <row r="8" spans="1:4" x14ac:dyDescent="0.45">
      <c r="A8" s="4" t="s">
        <v>9</v>
      </c>
      <c r="B8" s="8">
        <v>5.0000000000000001E-3</v>
      </c>
      <c r="C8" s="8">
        <v>0</v>
      </c>
      <c r="D8" s="8">
        <v>0</v>
      </c>
    </row>
    <row r="9" spans="1:4" x14ac:dyDescent="0.45">
      <c r="A9" s="4" t="s">
        <v>10</v>
      </c>
      <c r="B9" s="8">
        <v>0</v>
      </c>
      <c r="C9" s="8">
        <v>0</v>
      </c>
      <c r="D9" s="8">
        <v>0</v>
      </c>
    </row>
    <row r="10" spans="1:4" x14ac:dyDescent="0.45">
      <c r="A10" s="4" t="s">
        <v>11</v>
      </c>
      <c r="B10" s="8">
        <v>3.5000000000000003E-2</v>
      </c>
      <c r="C10" s="8">
        <v>0</v>
      </c>
      <c r="D10" s="8">
        <v>0</v>
      </c>
    </row>
    <row r="11" spans="1:4" x14ac:dyDescent="0.45">
      <c r="A11" s="4" t="s">
        <v>12</v>
      </c>
      <c r="B11" s="8">
        <v>3.5000000000000003E-2</v>
      </c>
      <c r="C11" s="8">
        <v>0</v>
      </c>
      <c r="D11" s="8">
        <v>0</v>
      </c>
    </row>
    <row r="12" spans="1:4" x14ac:dyDescent="0.45">
      <c r="A12" s="4" t="s">
        <v>13</v>
      </c>
      <c r="B12" s="8">
        <v>3.6999999999999998E-2</v>
      </c>
    </row>
    <row r="13" spans="1:4" x14ac:dyDescent="0.45">
      <c r="A13" s="4" t="s">
        <v>14</v>
      </c>
      <c r="B13" s="8">
        <v>0.06</v>
      </c>
    </row>
    <row r="14" spans="1:4" x14ac:dyDescent="0.45">
      <c r="A14" s="4" t="s">
        <v>15</v>
      </c>
      <c r="B14" s="5" t="s">
        <v>16</v>
      </c>
    </row>
    <row r="15" spans="1:4" x14ac:dyDescent="0.45">
      <c r="A15" s="4" t="s">
        <v>17</v>
      </c>
      <c r="B15" s="5" t="s">
        <v>16</v>
      </c>
    </row>
    <row r="17" spans="1:4" x14ac:dyDescent="0.45">
      <c r="A17" s="3" t="s">
        <v>18</v>
      </c>
    </row>
    <row r="18" spans="1:4" x14ac:dyDescent="0.45">
      <c r="A18" s="4" t="s">
        <v>19</v>
      </c>
      <c r="B18" s="9">
        <v>17946</v>
      </c>
    </row>
    <row r="19" spans="1:4" x14ac:dyDescent="0.45">
      <c r="A19" s="4" t="s">
        <v>20</v>
      </c>
      <c r="B19" s="10">
        <v>50.29</v>
      </c>
    </row>
    <row r="20" spans="1:4" x14ac:dyDescent="0.45">
      <c r="A20" s="4" t="s">
        <v>21</v>
      </c>
      <c r="B20" s="9">
        <v>0</v>
      </c>
    </row>
    <row r="21" spans="1:4" x14ac:dyDescent="0.45">
      <c r="A21" s="4" t="s">
        <v>22</v>
      </c>
      <c r="B21" s="11">
        <v>15</v>
      </c>
    </row>
    <row r="22" spans="1:4" x14ac:dyDescent="0.45">
      <c r="A22" s="4" t="s">
        <v>23</v>
      </c>
      <c r="B22" s="8">
        <v>0</v>
      </c>
    </row>
    <row r="24" spans="1:4" x14ac:dyDescent="0.45">
      <c r="A24" s="3" t="s">
        <v>24</v>
      </c>
    </row>
    <row r="25" spans="1:4" x14ac:dyDescent="0.45">
      <c r="A25" s="4" t="s">
        <v>25</v>
      </c>
      <c r="B25" s="8">
        <v>2.1999999999999999E-2</v>
      </c>
      <c r="C25" s="4" t="s">
        <v>26</v>
      </c>
      <c r="D25" s="8">
        <v>0.92600000000000005</v>
      </c>
    </row>
    <row r="26" spans="1:4" x14ac:dyDescent="0.45">
      <c r="A26" s="4" t="s">
        <v>27</v>
      </c>
      <c r="B26" s="8">
        <v>0.25</v>
      </c>
      <c r="C26" s="4" t="s">
        <v>28</v>
      </c>
      <c r="D26" s="8">
        <v>1</v>
      </c>
    </row>
    <row r="27" spans="1:4" x14ac:dyDescent="0.45">
      <c r="A27" s="4" t="s">
        <v>29</v>
      </c>
      <c r="B27" s="8">
        <v>0.22</v>
      </c>
      <c r="C27" s="4" t="s">
        <v>30</v>
      </c>
      <c r="D27" s="12">
        <f>B83/$B$18</f>
        <v>57.619469519670119</v>
      </c>
    </row>
    <row r="28" spans="1:4" x14ac:dyDescent="0.45">
      <c r="A28" s="4" t="s">
        <v>31</v>
      </c>
      <c r="B28" s="8">
        <v>0.21</v>
      </c>
      <c r="C28" s="4" t="s">
        <v>32</v>
      </c>
      <c r="D28" s="12">
        <f>B105/$B$46</f>
        <v>104.35309997300459</v>
      </c>
    </row>
    <row r="29" spans="1:4" x14ac:dyDescent="0.45">
      <c r="A29" s="4" t="s">
        <v>33</v>
      </c>
      <c r="B29" s="9">
        <v>2026</v>
      </c>
      <c r="C29" s="4" t="s">
        <v>34</v>
      </c>
      <c r="D29" s="13">
        <f>IFERROR(B126/SUMPRODUCT((C111:N111&gt;0)*(C111:N111))*4,0)</f>
        <v>4.8501910447587011E-2</v>
      </c>
    </row>
    <row r="30" spans="1:4" x14ac:dyDescent="0.45">
      <c r="A30" s="4" t="s">
        <v>35</v>
      </c>
      <c r="B30" s="9">
        <v>1</v>
      </c>
    </row>
    <row r="31" spans="1:4" x14ac:dyDescent="0.45">
      <c r="A31" s="4" t="s">
        <v>36</v>
      </c>
      <c r="B31" s="9">
        <v>1</v>
      </c>
    </row>
    <row r="32" spans="1:4" x14ac:dyDescent="0.45">
      <c r="A32" s="4" t="s">
        <v>37</v>
      </c>
      <c r="B32" s="9">
        <v>9</v>
      </c>
    </row>
    <row r="33" spans="1:14" x14ac:dyDescent="0.45">
      <c r="A33" s="4" t="s">
        <v>38</v>
      </c>
      <c r="B33" s="9">
        <v>10</v>
      </c>
    </row>
    <row r="34" spans="1:14" x14ac:dyDescent="0.45">
      <c r="A34" s="4" t="s">
        <v>39</v>
      </c>
      <c r="B34" s="8">
        <v>0.05</v>
      </c>
    </row>
    <row r="35" spans="1:14" x14ac:dyDescent="0.45">
      <c r="A35" s="4" t="s">
        <v>40</v>
      </c>
      <c r="B35" s="5" t="s">
        <v>41</v>
      </c>
    </row>
    <row r="37" spans="1:14" x14ac:dyDescent="0.45">
      <c r="A37" s="4" t="s">
        <v>42</v>
      </c>
      <c r="C37" s="14">
        <v>1</v>
      </c>
      <c r="D37" s="14">
        <v>0.11799999999999999</v>
      </c>
      <c r="E37" s="14">
        <v>0.13800000000000001</v>
      </c>
      <c r="F37" s="14">
        <v>0.14399999999999999</v>
      </c>
      <c r="G37" s="14">
        <v>0.14399999999999999</v>
      </c>
      <c r="H37" s="14">
        <v>0.13800000000000001</v>
      </c>
      <c r="I37" s="14">
        <v>0.128</v>
      </c>
      <c r="J37" s="14">
        <v>0.11</v>
      </c>
      <c r="K37" s="14">
        <v>8.1000000000000003E-2</v>
      </c>
      <c r="L37" s="14">
        <v>0</v>
      </c>
      <c r="M37" s="14">
        <v>0</v>
      </c>
      <c r="N37" s="14">
        <v>0</v>
      </c>
    </row>
    <row r="39" spans="1:14" x14ac:dyDescent="0.45">
      <c r="A39" s="15" t="s">
        <v>43</v>
      </c>
    </row>
    <row r="40" spans="1:14" x14ac:dyDescent="0.45">
      <c r="A40" s="16"/>
      <c r="B40" s="16" t="s">
        <v>44</v>
      </c>
      <c r="C40" s="16" t="s">
        <v>45</v>
      </c>
      <c r="D40" s="16" t="s">
        <v>46</v>
      </c>
      <c r="E40" s="16" t="s">
        <v>47</v>
      </c>
      <c r="F40" s="16" t="s">
        <v>48</v>
      </c>
      <c r="G40" s="16" t="s">
        <v>49</v>
      </c>
      <c r="H40" s="16" t="s">
        <v>50</v>
      </c>
      <c r="I40" s="16" t="s">
        <v>51</v>
      </c>
      <c r="J40" s="16" t="s">
        <v>52</v>
      </c>
      <c r="K40" s="16" t="s">
        <v>53</v>
      </c>
      <c r="L40" s="16" t="s">
        <v>54</v>
      </c>
      <c r="M40" s="16" t="s">
        <v>55</v>
      </c>
      <c r="N40" s="16" t="s">
        <v>56</v>
      </c>
    </row>
    <row r="42" spans="1:14" x14ac:dyDescent="0.45">
      <c r="A42" s="3" t="s">
        <v>57</v>
      </c>
    </row>
    <row r="43" spans="1:14" x14ac:dyDescent="0.45">
      <c r="A43" s="17" t="s">
        <v>58</v>
      </c>
      <c r="B43" s="18">
        <f>SUM(C43:N43)</f>
        <v>2154878656.1180005</v>
      </c>
      <c r="C43" s="19">
        <f t="shared" ref="C43:N43" si="0">C45+C51+C56+C61+C66+C71</f>
        <v>0</v>
      </c>
      <c r="D43" s="19">
        <f t="shared" si="0"/>
        <v>252481725.30599996</v>
      </c>
      <c r="E43" s="19">
        <f t="shared" si="0"/>
        <v>295216841.64600003</v>
      </c>
      <c r="F43" s="19">
        <f t="shared" si="0"/>
        <v>312304399.45599997</v>
      </c>
      <c r="G43" s="19">
        <f t="shared" si="0"/>
        <v>312673851.10399997</v>
      </c>
      <c r="H43" s="19">
        <f t="shared" si="0"/>
        <v>296600543.40399998</v>
      </c>
      <c r="I43" s="19">
        <f t="shared" si="0"/>
        <v>275141430.824</v>
      </c>
      <c r="J43" s="19">
        <f t="shared" si="0"/>
        <v>236400879.38000003</v>
      </c>
      <c r="K43" s="19">
        <f t="shared" si="0"/>
        <v>174058984.998</v>
      </c>
      <c r="L43" s="19">
        <f t="shared" si="0"/>
        <v>0</v>
      </c>
      <c r="M43" s="19">
        <f t="shared" si="0"/>
        <v>0</v>
      </c>
      <c r="N43" s="19">
        <f t="shared" si="0"/>
        <v>0</v>
      </c>
    </row>
    <row r="45" spans="1:14" x14ac:dyDescent="0.45">
      <c r="A45" s="6" t="s">
        <v>59</v>
      </c>
      <c r="B45" s="18">
        <f>SUM(C45:N45)</f>
        <v>2154442704.1180005</v>
      </c>
      <c r="C45" s="19">
        <f t="shared" ref="C45:N45" si="1">C46*C48</f>
        <v>0</v>
      </c>
      <c r="D45" s="19">
        <f t="shared" si="1"/>
        <v>252378030.30599996</v>
      </c>
      <c r="E45" s="19">
        <f t="shared" si="1"/>
        <v>295153967.64600003</v>
      </c>
      <c r="F45" s="19">
        <f t="shared" si="1"/>
        <v>312249873.45599997</v>
      </c>
      <c r="G45" s="19">
        <f t="shared" si="1"/>
        <v>312624337.10399997</v>
      </c>
      <c r="H45" s="19">
        <f t="shared" si="1"/>
        <v>296544937.40399998</v>
      </c>
      <c r="I45" s="19">
        <f t="shared" si="1"/>
        <v>275056173.824</v>
      </c>
      <c r="J45" s="19">
        <f t="shared" si="1"/>
        <v>236376399.38000003</v>
      </c>
      <c r="K45" s="19">
        <f t="shared" si="1"/>
        <v>174058984.998</v>
      </c>
      <c r="L45" s="19">
        <f t="shared" si="1"/>
        <v>0</v>
      </c>
      <c r="M45" s="19">
        <f t="shared" si="1"/>
        <v>0</v>
      </c>
      <c r="N45" s="19">
        <f t="shared" si="1"/>
        <v>0</v>
      </c>
    </row>
    <row r="46" spans="1:14" x14ac:dyDescent="0.45">
      <c r="A46" s="4" t="s">
        <v>60</v>
      </c>
      <c r="B46" s="9">
        <v>11113</v>
      </c>
      <c r="C46" s="19">
        <f t="shared" ref="C46:N46" si="2">$B$46*C37</f>
        <v>11113</v>
      </c>
      <c r="D46" s="19">
        <f t="shared" si="2"/>
        <v>1311.3339999999998</v>
      </c>
      <c r="E46" s="19">
        <f t="shared" si="2"/>
        <v>1533.5940000000001</v>
      </c>
      <c r="F46" s="19">
        <f t="shared" si="2"/>
        <v>1600.2719999999999</v>
      </c>
      <c r="G46" s="19">
        <f t="shared" si="2"/>
        <v>1600.2719999999999</v>
      </c>
      <c r="H46" s="19">
        <f t="shared" si="2"/>
        <v>1533.5940000000001</v>
      </c>
      <c r="I46" s="19">
        <f t="shared" si="2"/>
        <v>1422.4639999999999</v>
      </c>
      <c r="J46" s="19">
        <f t="shared" si="2"/>
        <v>1222.43</v>
      </c>
      <c r="K46" s="19">
        <f t="shared" si="2"/>
        <v>900.15300000000002</v>
      </c>
      <c r="L46" s="19">
        <f t="shared" si="2"/>
        <v>0</v>
      </c>
      <c r="M46" s="19">
        <f t="shared" si="2"/>
        <v>0</v>
      </c>
      <c r="N46" s="19">
        <f t="shared" si="2"/>
        <v>0</v>
      </c>
    </row>
    <row r="47" spans="1:14" x14ac:dyDescent="0.45">
      <c r="A47" s="4" t="s">
        <v>61</v>
      </c>
      <c r="B47" s="20">
        <f>SUM(C47:N47)</f>
        <v>441</v>
      </c>
      <c r="C47" s="19">
        <f t="shared" ref="C47:N47" si="3">ROUND(C46/$B$19,0)</f>
        <v>221</v>
      </c>
      <c r="D47" s="19">
        <f t="shared" si="3"/>
        <v>26</v>
      </c>
      <c r="E47" s="19">
        <f t="shared" si="3"/>
        <v>30</v>
      </c>
      <c r="F47" s="19">
        <f t="shared" si="3"/>
        <v>32</v>
      </c>
      <c r="G47" s="19">
        <f t="shared" si="3"/>
        <v>32</v>
      </c>
      <c r="H47" s="19">
        <f t="shared" si="3"/>
        <v>30</v>
      </c>
      <c r="I47" s="19">
        <f t="shared" si="3"/>
        <v>28</v>
      </c>
      <c r="J47" s="19">
        <f t="shared" si="3"/>
        <v>24</v>
      </c>
      <c r="K47" s="19">
        <f t="shared" si="3"/>
        <v>18</v>
      </c>
      <c r="L47" s="19">
        <f t="shared" si="3"/>
        <v>0</v>
      </c>
      <c r="M47" s="19">
        <f t="shared" si="3"/>
        <v>0</v>
      </c>
      <c r="N47" s="19">
        <f t="shared" si="3"/>
        <v>0</v>
      </c>
    </row>
    <row r="48" spans="1:14" x14ac:dyDescent="0.45">
      <c r="A48" s="4" t="s">
        <v>62</v>
      </c>
      <c r="B48" s="19">
        <f>IFERROR(B45/B46,0)</f>
        <v>193866.88600000006</v>
      </c>
      <c r="C48" s="21">
        <v>0</v>
      </c>
      <c r="D48" s="21">
        <v>192459</v>
      </c>
      <c r="E48" s="21">
        <v>192459</v>
      </c>
      <c r="F48" s="21">
        <v>195123</v>
      </c>
      <c r="G48" s="21">
        <v>195357</v>
      </c>
      <c r="H48" s="21">
        <v>193366</v>
      </c>
      <c r="I48" s="21">
        <v>193366</v>
      </c>
      <c r="J48" s="21">
        <v>193366</v>
      </c>
      <c r="K48" s="21">
        <v>193366</v>
      </c>
      <c r="L48" s="21">
        <v>193366</v>
      </c>
      <c r="M48" s="21">
        <v>193366</v>
      </c>
      <c r="N48" s="21">
        <v>193366</v>
      </c>
    </row>
    <row r="49" spans="1:14" x14ac:dyDescent="0.45">
      <c r="C49" s="22" t="s">
        <v>63</v>
      </c>
      <c r="D49" s="22" t="s">
        <v>63</v>
      </c>
      <c r="E49" s="22" t="s">
        <v>63</v>
      </c>
      <c r="F49" s="22" t="s">
        <v>63</v>
      </c>
      <c r="G49" s="22" t="s">
        <v>63</v>
      </c>
      <c r="H49" s="22" t="s">
        <v>63</v>
      </c>
      <c r="I49" s="22" t="s">
        <v>63</v>
      </c>
      <c r="J49" s="22" t="s">
        <v>63</v>
      </c>
      <c r="K49" s="22" t="s">
        <v>63</v>
      </c>
      <c r="L49" s="22" t="s">
        <v>63</v>
      </c>
      <c r="M49" s="22" t="s">
        <v>63</v>
      </c>
      <c r="N49" s="22" t="s">
        <v>63</v>
      </c>
    </row>
    <row r="51" spans="1:14" x14ac:dyDescent="0.45">
      <c r="A51" s="6" t="s">
        <v>64</v>
      </c>
      <c r="B51" s="18">
        <f>SUM(C51:N51)</f>
        <v>0</v>
      </c>
      <c r="C51" s="19">
        <f t="shared" ref="C51:N51" si="4">C52*C54</f>
        <v>0</v>
      </c>
      <c r="D51" s="19">
        <f t="shared" si="4"/>
        <v>0</v>
      </c>
      <c r="E51" s="19">
        <f t="shared" si="4"/>
        <v>0</v>
      </c>
      <c r="F51" s="19">
        <f t="shared" si="4"/>
        <v>0</v>
      </c>
      <c r="G51" s="19">
        <f t="shared" si="4"/>
        <v>0</v>
      </c>
      <c r="H51" s="19">
        <f t="shared" si="4"/>
        <v>0</v>
      </c>
      <c r="I51" s="19">
        <f t="shared" si="4"/>
        <v>0</v>
      </c>
      <c r="J51" s="19">
        <f t="shared" si="4"/>
        <v>0</v>
      </c>
      <c r="K51" s="19">
        <f t="shared" si="4"/>
        <v>0</v>
      </c>
      <c r="L51" s="19">
        <f t="shared" si="4"/>
        <v>0</v>
      </c>
      <c r="M51" s="19">
        <f t="shared" si="4"/>
        <v>0</v>
      </c>
      <c r="N51" s="19">
        <f t="shared" si="4"/>
        <v>0</v>
      </c>
    </row>
    <row r="52" spans="1:14" x14ac:dyDescent="0.45">
      <c r="A52" s="4" t="s">
        <v>65</v>
      </c>
      <c r="B52" s="9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</row>
    <row r="53" spans="1:14" x14ac:dyDescent="0.45">
      <c r="A53" s="4" t="s">
        <v>66</v>
      </c>
      <c r="C53" s="19" t="s">
        <v>67</v>
      </c>
      <c r="D53" s="19" t="s">
        <v>67</v>
      </c>
      <c r="E53" s="19" t="s">
        <v>67</v>
      </c>
      <c r="F53" s="19" t="s">
        <v>67</v>
      </c>
      <c r="G53" s="19" t="s">
        <v>67</v>
      </c>
      <c r="H53" s="19" t="s">
        <v>67</v>
      </c>
      <c r="I53" s="19" t="s">
        <v>67</v>
      </c>
      <c r="J53" s="19" t="s">
        <v>67</v>
      </c>
      <c r="K53" s="19" t="s">
        <v>67</v>
      </c>
      <c r="L53" s="19" t="s">
        <v>67</v>
      </c>
      <c r="M53" s="19" t="s">
        <v>67</v>
      </c>
      <c r="N53" s="19" t="s">
        <v>67</v>
      </c>
    </row>
    <row r="54" spans="1:14" x14ac:dyDescent="0.45">
      <c r="A54" s="4" t="s">
        <v>62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</row>
    <row r="56" spans="1:14" x14ac:dyDescent="0.45">
      <c r="A56" s="6" t="s">
        <v>68</v>
      </c>
      <c r="B56" s="18">
        <f>SUM(C56:N56)</f>
        <v>164808</v>
      </c>
      <c r="C56" s="19">
        <f t="shared" ref="C56:N56" si="5">C57*C58</f>
        <v>0</v>
      </c>
      <c r="D56" s="19">
        <f t="shared" si="5"/>
        <v>30174</v>
      </c>
      <c r="E56" s="19">
        <f t="shared" si="5"/>
        <v>23976</v>
      </c>
      <c r="F56" s="19">
        <f t="shared" si="5"/>
        <v>21909</v>
      </c>
      <c r="G56" s="19">
        <f t="shared" si="5"/>
        <v>21450</v>
      </c>
      <c r="H56" s="19">
        <f t="shared" si="5"/>
        <v>20979</v>
      </c>
      <c r="I56" s="19">
        <f t="shared" si="5"/>
        <v>21840</v>
      </c>
      <c r="J56" s="19">
        <f t="shared" si="5"/>
        <v>24480</v>
      </c>
      <c r="K56" s="19">
        <f t="shared" si="5"/>
        <v>0</v>
      </c>
      <c r="L56" s="19">
        <f t="shared" si="5"/>
        <v>0</v>
      </c>
      <c r="M56" s="19">
        <f t="shared" si="5"/>
        <v>0</v>
      </c>
      <c r="N56" s="19">
        <f t="shared" si="5"/>
        <v>0</v>
      </c>
    </row>
    <row r="57" spans="1:14" x14ac:dyDescent="0.45">
      <c r="A57" s="4" t="s">
        <v>69</v>
      </c>
      <c r="B57" s="9">
        <v>500</v>
      </c>
      <c r="C57" s="21">
        <v>0</v>
      </c>
      <c r="D57" s="21">
        <v>94</v>
      </c>
      <c r="E57" s="21">
        <v>74</v>
      </c>
      <c r="F57" s="21">
        <v>67</v>
      </c>
      <c r="G57" s="21">
        <v>65</v>
      </c>
      <c r="H57" s="21">
        <v>63</v>
      </c>
      <c r="I57" s="21">
        <v>65</v>
      </c>
      <c r="J57" s="21">
        <v>72</v>
      </c>
      <c r="K57" s="21">
        <v>0</v>
      </c>
      <c r="L57" s="21">
        <v>0</v>
      </c>
      <c r="M57" s="21">
        <v>0</v>
      </c>
      <c r="N57" s="21">
        <v>0</v>
      </c>
    </row>
    <row r="58" spans="1:14" x14ac:dyDescent="0.45">
      <c r="A58" s="4" t="s">
        <v>62</v>
      </c>
      <c r="B58" s="19">
        <f>IFERROR(B56/B57,0)</f>
        <v>329.61599999999999</v>
      </c>
      <c r="C58" s="21">
        <v>0</v>
      </c>
      <c r="D58" s="21">
        <v>321</v>
      </c>
      <c r="E58" s="21">
        <v>324</v>
      </c>
      <c r="F58" s="21">
        <v>327</v>
      </c>
      <c r="G58" s="21">
        <v>330</v>
      </c>
      <c r="H58" s="21">
        <v>333</v>
      </c>
      <c r="I58" s="21">
        <v>336</v>
      </c>
      <c r="J58" s="21">
        <v>340</v>
      </c>
      <c r="K58" s="21">
        <v>0</v>
      </c>
      <c r="L58" s="21">
        <v>0</v>
      </c>
      <c r="M58" s="21">
        <v>0</v>
      </c>
      <c r="N58" s="21">
        <v>0</v>
      </c>
    </row>
    <row r="59" spans="1:14" x14ac:dyDescent="0.45">
      <c r="C59" s="22" t="s">
        <v>63</v>
      </c>
      <c r="D59" s="22" t="s">
        <v>63</v>
      </c>
      <c r="E59" s="22" t="s">
        <v>63</v>
      </c>
      <c r="F59" s="22" t="s">
        <v>63</v>
      </c>
      <c r="G59" s="22" t="s">
        <v>63</v>
      </c>
      <c r="H59" s="22" t="s">
        <v>63</v>
      </c>
      <c r="I59" s="22" t="s">
        <v>63</v>
      </c>
      <c r="J59" s="22" t="s">
        <v>63</v>
      </c>
      <c r="K59" s="22" t="s">
        <v>63</v>
      </c>
      <c r="L59" s="22" t="s">
        <v>63</v>
      </c>
      <c r="M59" s="22" t="s">
        <v>63</v>
      </c>
      <c r="N59" s="22" t="s">
        <v>63</v>
      </c>
    </row>
    <row r="61" spans="1:14" x14ac:dyDescent="0.45">
      <c r="A61" s="6" t="s">
        <v>70</v>
      </c>
      <c r="B61" s="18">
        <f>SUM(C61:N61)</f>
        <v>191755</v>
      </c>
      <c r="C61" s="19">
        <f t="shared" ref="C61:N61" si="6">C62*C63</f>
        <v>0</v>
      </c>
      <c r="D61" s="19">
        <f t="shared" si="6"/>
        <v>51744</v>
      </c>
      <c r="E61" s="19">
        <f t="shared" si="6"/>
        <v>28458</v>
      </c>
      <c r="F61" s="19">
        <f t="shared" si="6"/>
        <v>23905</v>
      </c>
      <c r="G61" s="19">
        <f t="shared" si="6"/>
        <v>19280</v>
      </c>
      <c r="H61" s="19">
        <f t="shared" si="6"/>
        <v>24295</v>
      </c>
      <c r="I61" s="19">
        <f t="shared" si="6"/>
        <v>44073</v>
      </c>
      <c r="J61" s="19">
        <f t="shared" si="6"/>
        <v>0</v>
      </c>
      <c r="K61" s="19">
        <f t="shared" si="6"/>
        <v>0</v>
      </c>
      <c r="L61" s="19">
        <f t="shared" si="6"/>
        <v>0</v>
      </c>
      <c r="M61" s="19">
        <f t="shared" si="6"/>
        <v>0</v>
      </c>
      <c r="N61" s="19">
        <f t="shared" si="6"/>
        <v>0</v>
      </c>
    </row>
    <row r="62" spans="1:14" x14ac:dyDescent="0.45">
      <c r="A62" s="4" t="s">
        <v>71</v>
      </c>
      <c r="B62" s="9">
        <v>40</v>
      </c>
      <c r="C62" s="21">
        <v>0</v>
      </c>
      <c r="D62" s="21">
        <v>11</v>
      </c>
      <c r="E62" s="21">
        <v>6</v>
      </c>
      <c r="F62" s="21">
        <v>5</v>
      </c>
      <c r="G62" s="21">
        <v>4</v>
      </c>
      <c r="H62" s="21">
        <v>5</v>
      </c>
      <c r="I62" s="21">
        <v>9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</row>
    <row r="63" spans="1:14" x14ac:dyDescent="0.45">
      <c r="A63" s="4" t="s">
        <v>72</v>
      </c>
      <c r="B63" s="19">
        <f>IFERROR(B61/B62,0)</f>
        <v>4793.875</v>
      </c>
      <c r="C63" s="21">
        <v>0</v>
      </c>
      <c r="D63" s="21">
        <v>4704</v>
      </c>
      <c r="E63" s="21">
        <v>4743</v>
      </c>
      <c r="F63" s="21">
        <v>4781</v>
      </c>
      <c r="G63" s="21">
        <v>4820</v>
      </c>
      <c r="H63" s="21">
        <v>4859</v>
      </c>
      <c r="I63" s="21">
        <v>4897</v>
      </c>
      <c r="J63" s="21">
        <v>4936</v>
      </c>
      <c r="K63" s="21">
        <v>4975</v>
      </c>
      <c r="L63" s="21">
        <v>5014</v>
      </c>
      <c r="M63" s="21">
        <v>5052</v>
      </c>
      <c r="N63" s="21">
        <v>5091</v>
      </c>
    </row>
    <row r="64" spans="1:14" x14ac:dyDescent="0.45">
      <c r="C64" s="22" t="s">
        <v>63</v>
      </c>
      <c r="D64" s="22" t="s">
        <v>63</v>
      </c>
      <c r="E64" s="22" t="s">
        <v>63</v>
      </c>
      <c r="F64" s="22" t="s">
        <v>63</v>
      </c>
      <c r="G64" s="22" t="s">
        <v>63</v>
      </c>
      <c r="H64" s="22" t="s">
        <v>63</v>
      </c>
      <c r="I64" s="22" t="s">
        <v>63</v>
      </c>
      <c r="J64" s="22" t="s">
        <v>63</v>
      </c>
      <c r="K64" s="22" t="s">
        <v>63</v>
      </c>
      <c r="L64" s="22" t="s">
        <v>63</v>
      </c>
      <c r="M64" s="22" t="s">
        <v>63</v>
      </c>
      <c r="N64" s="22" t="s">
        <v>63</v>
      </c>
    </row>
    <row r="66" spans="1:14" x14ac:dyDescent="0.45">
      <c r="A66" s="6" t="s">
        <v>73</v>
      </c>
      <c r="B66" s="18">
        <f>SUM(C66:N66)</f>
        <v>79389</v>
      </c>
      <c r="C66" s="19">
        <f t="shared" ref="C66:N66" si="7">C67*C68</f>
        <v>0</v>
      </c>
      <c r="D66" s="19">
        <f t="shared" si="7"/>
        <v>21777</v>
      </c>
      <c r="E66" s="19">
        <f t="shared" si="7"/>
        <v>10440</v>
      </c>
      <c r="F66" s="19">
        <f t="shared" si="7"/>
        <v>8712</v>
      </c>
      <c r="G66" s="19">
        <f t="shared" si="7"/>
        <v>8784</v>
      </c>
      <c r="H66" s="19">
        <f t="shared" si="7"/>
        <v>10332</v>
      </c>
      <c r="I66" s="19">
        <f t="shared" si="7"/>
        <v>19344</v>
      </c>
      <c r="J66" s="19">
        <f t="shared" si="7"/>
        <v>0</v>
      </c>
      <c r="K66" s="19">
        <f t="shared" si="7"/>
        <v>0</v>
      </c>
      <c r="L66" s="19">
        <f t="shared" si="7"/>
        <v>0</v>
      </c>
      <c r="M66" s="19">
        <f t="shared" si="7"/>
        <v>0</v>
      </c>
      <c r="N66" s="19">
        <f t="shared" si="7"/>
        <v>0</v>
      </c>
    </row>
    <row r="67" spans="1:14" x14ac:dyDescent="0.45">
      <c r="A67" s="4" t="s">
        <v>74</v>
      </c>
      <c r="B67" s="9">
        <v>218</v>
      </c>
      <c r="C67" s="21">
        <v>0</v>
      </c>
      <c r="D67" s="21">
        <v>61</v>
      </c>
      <c r="E67" s="21">
        <v>29</v>
      </c>
      <c r="F67" s="21">
        <v>24</v>
      </c>
      <c r="G67" s="21">
        <v>24</v>
      </c>
      <c r="H67" s="21">
        <v>28</v>
      </c>
      <c r="I67" s="21">
        <v>52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</row>
    <row r="68" spans="1:14" x14ac:dyDescent="0.45">
      <c r="A68" s="4" t="s">
        <v>62</v>
      </c>
      <c r="B68" s="19">
        <f>IFERROR(B66/B67,0)</f>
        <v>364.16972477064218</v>
      </c>
      <c r="C68" s="21">
        <v>0</v>
      </c>
      <c r="D68" s="21">
        <v>357</v>
      </c>
      <c r="E68" s="21">
        <v>360</v>
      </c>
      <c r="F68" s="21">
        <v>363</v>
      </c>
      <c r="G68" s="21">
        <v>366</v>
      </c>
      <c r="H68" s="21">
        <v>369</v>
      </c>
      <c r="I68" s="21">
        <v>372</v>
      </c>
      <c r="J68" s="21">
        <v>375</v>
      </c>
      <c r="K68" s="21">
        <v>378</v>
      </c>
      <c r="L68" s="21">
        <v>381</v>
      </c>
      <c r="M68" s="21">
        <v>385</v>
      </c>
      <c r="N68" s="21">
        <v>388</v>
      </c>
    </row>
    <row r="69" spans="1:14" x14ac:dyDescent="0.45">
      <c r="C69" s="22" t="s">
        <v>63</v>
      </c>
      <c r="D69" s="22" t="s">
        <v>63</v>
      </c>
      <c r="E69" s="22" t="s">
        <v>63</v>
      </c>
      <c r="F69" s="22" t="s">
        <v>63</v>
      </c>
      <c r="G69" s="22" t="s">
        <v>63</v>
      </c>
      <c r="H69" s="22" t="s">
        <v>63</v>
      </c>
      <c r="I69" s="22" t="s">
        <v>63</v>
      </c>
      <c r="J69" s="22" t="s">
        <v>63</v>
      </c>
      <c r="K69" s="22" t="s">
        <v>63</v>
      </c>
      <c r="L69" s="22" t="s">
        <v>63</v>
      </c>
      <c r="M69" s="22" t="s">
        <v>63</v>
      </c>
      <c r="N69" s="22" t="s">
        <v>63</v>
      </c>
    </row>
    <row r="71" spans="1:14" x14ac:dyDescent="0.45">
      <c r="A71" s="4" t="s">
        <v>75</v>
      </c>
      <c r="B71" s="19">
        <f>SUM(C71:N71)</f>
        <v>0</v>
      </c>
      <c r="C71" s="19" t="s">
        <v>67</v>
      </c>
      <c r="D71" s="19" t="s">
        <v>67</v>
      </c>
      <c r="E71" s="19" t="s">
        <v>67</v>
      </c>
      <c r="F71" s="19" t="s">
        <v>67</v>
      </c>
      <c r="G71" s="19" t="s">
        <v>67</v>
      </c>
      <c r="H71" s="19" t="s">
        <v>67</v>
      </c>
      <c r="I71" s="19" t="s">
        <v>67</v>
      </c>
      <c r="J71" s="19" t="s">
        <v>67</v>
      </c>
      <c r="K71" s="19" t="s">
        <v>67</v>
      </c>
      <c r="L71" s="19" t="s">
        <v>67</v>
      </c>
      <c r="M71" s="19" t="s">
        <v>67</v>
      </c>
      <c r="N71" s="19" t="s">
        <v>67</v>
      </c>
    </row>
    <row r="73" spans="1:14" x14ac:dyDescent="0.45">
      <c r="A73" s="3" t="s">
        <v>76</v>
      </c>
    </row>
    <row r="74" spans="1:14" x14ac:dyDescent="0.45">
      <c r="A74" s="4" t="s">
        <v>77</v>
      </c>
      <c r="C74" s="19">
        <f>C75+C76</f>
        <v>0</v>
      </c>
      <c r="D74" s="19">
        <f t="shared" ref="D74:N74" si="8">C74+D75+D76</f>
        <v>-252481725.30599996</v>
      </c>
      <c r="E74" s="19">
        <f t="shared" si="8"/>
        <v>-547698566.95200002</v>
      </c>
      <c r="F74" s="19">
        <f t="shared" si="8"/>
        <v>-860002966.40799999</v>
      </c>
      <c r="G74" s="19">
        <f t="shared" si="8"/>
        <v>-1172676817.5120001</v>
      </c>
      <c r="H74" s="19">
        <f t="shared" si="8"/>
        <v>-1469277360.9160001</v>
      </c>
      <c r="I74" s="19">
        <f t="shared" si="8"/>
        <v>-1744418791.7400002</v>
      </c>
      <c r="J74" s="19">
        <f t="shared" si="8"/>
        <v>-1980819671.1200004</v>
      </c>
      <c r="K74" s="19">
        <f t="shared" si="8"/>
        <v>0</v>
      </c>
      <c r="L74" s="19">
        <f t="shared" si="8"/>
        <v>0</v>
      </c>
      <c r="M74" s="19">
        <f t="shared" si="8"/>
        <v>0</v>
      </c>
      <c r="N74" s="19">
        <f t="shared" si="8"/>
        <v>0</v>
      </c>
    </row>
    <row r="75" spans="1:14" x14ac:dyDescent="0.45">
      <c r="A75" s="4" t="s">
        <v>78</v>
      </c>
      <c r="B75" s="19">
        <f>SUM(C75:N75)</f>
        <v>-2154878656.1180005</v>
      </c>
      <c r="C75" s="19">
        <f t="shared" ref="C75:N75" si="9">-C43</f>
        <v>0</v>
      </c>
      <c r="D75" s="19">
        <f t="shared" si="9"/>
        <v>-252481725.30599996</v>
      </c>
      <c r="E75" s="19">
        <f t="shared" si="9"/>
        <v>-295216841.64600003</v>
      </c>
      <c r="F75" s="19">
        <f t="shared" si="9"/>
        <v>-312304399.45599997</v>
      </c>
      <c r="G75" s="19">
        <f t="shared" si="9"/>
        <v>-312673851.10399997</v>
      </c>
      <c r="H75" s="19">
        <f t="shared" si="9"/>
        <v>-296600543.40399998</v>
      </c>
      <c r="I75" s="19">
        <f t="shared" si="9"/>
        <v>-275141430.824</v>
      </c>
      <c r="J75" s="19">
        <f t="shared" si="9"/>
        <v>-236400879.38000003</v>
      </c>
      <c r="K75" s="19">
        <f t="shared" si="9"/>
        <v>-174058984.998</v>
      </c>
      <c r="L75" s="19">
        <f t="shared" si="9"/>
        <v>0</v>
      </c>
      <c r="M75" s="19">
        <f t="shared" si="9"/>
        <v>0</v>
      </c>
      <c r="N75" s="19">
        <f t="shared" si="9"/>
        <v>0</v>
      </c>
    </row>
    <row r="76" spans="1:14" x14ac:dyDescent="0.45">
      <c r="A76" s="4" t="s">
        <v>79</v>
      </c>
      <c r="B76" s="19">
        <f>SUM(C76:N76)</f>
        <v>2154878656.1180005</v>
      </c>
      <c r="C76" s="19">
        <f>IF(1=$B$32,-C75,0)</f>
        <v>0</v>
      </c>
      <c r="D76" s="19">
        <f>IF(2=$B$32,-C74-D75,0)</f>
        <v>0</v>
      </c>
      <c r="E76" s="19">
        <f>IF(3=$B$32,-D74-E75,0)</f>
        <v>0</v>
      </c>
      <c r="F76" s="19">
        <f>IF(4=$B$32,-E74-F75,0)</f>
        <v>0</v>
      </c>
      <c r="G76" s="19">
        <f>IF(5=$B$32,-F74-G75,0)</f>
        <v>0</v>
      </c>
      <c r="H76" s="19">
        <f>IF(6=$B$32,-G74-H75,0)</f>
        <v>0</v>
      </c>
      <c r="I76" s="19">
        <f>IF(7=$B$32,-H74-I75,0)</f>
        <v>0</v>
      </c>
      <c r="J76" s="19">
        <f>IF(8=$B$32,-I74-J75,0)</f>
        <v>0</v>
      </c>
      <c r="K76" s="19">
        <f>IF(9=$B$32,-J74-K75,0)</f>
        <v>2154878656.1180005</v>
      </c>
      <c r="L76" s="19">
        <f>IF(10=$B$32,-K74-L75,0)</f>
        <v>0</v>
      </c>
      <c r="M76" s="19">
        <f>IF(11=$B$32,-L74-M75,0)</f>
        <v>0</v>
      </c>
      <c r="N76" s="19">
        <f>IF(12=$B$32,-M74-N75,0)</f>
        <v>0</v>
      </c>
    </row>
    <row r="78" spans="1:14" x14ac:dyDescent="0.45">
      <c r="A78" s="3" t="s">
        <v>80</v>
      </c>
    </row>
    <row r="79" spans="1:14" x14ac:dyDescent="0.45">
      <c r="A79" s="6" t="s">
        <v>81</v>
      </c>
    </row>
    <row r="80" spans="1:14" x14ac:dyDescent="0.45">
      <c r="A80" s="4" t="s">
        <v>82</v>
      </c>
      <c r="B80" s="19">
        <f t="shared" ref="B80:B88" si="10">SUM(C80:N80)</f>
        <v>125637</v>
      </c>
      <c r="C80" s="21">
        <v>125637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</row>
    <row r="81" spans="1:14" x14ac:dyDescent="0.45">
      <c r="A81" s="4" t="s">
        <v>83</v>
      </c>
      <c r="B81" s="19">
        <f t="shared" si="10"/>
        <v>0</v>
      </c>
      <c r="C81" s="19" t="s">
        <v>67</v>
      </c>
      <c r="D81" s="19" t="s">
        <v>67</v>
      </c>
      <c r="E81" s="19" t="s">
        <v>67</v>
      </c>
      <c r="F81" s="19" t="s">
        <v>67</v>
      </c>
      <c r="G81" s="19" t="s">
        <v>67</v>
      </c>
      <c r="H81" s="19" t="s">
        <v>67</v>
      </c>
      <c r="I81" s="19" t="s">
        <v>67</v>
      </c>
      <c r="J81" s="19" t="s">
        <v>67</v>
      </c>
      <c r="K81" s="19" t="s">
        <v>67</v>
      </c>
      <c r="L81" s="19" t="s">
        <v>67</v>
      </c>
      <c r="M81" s="19" t="s">
        <v>67</v>
      </c>
      <c r="N81" s="19" t="s">
        <v>67</v>
      </c>
    </row>
    <row r="82" spans="1:14" x14ac:dyDescent="0.45">
      <c r="A82" s="4" t="s">
        <v>84</v>
      </c>
      <c r="B82" s="19">
        <f t="shared" si="10"/>
        <v>0</v>
      </c>
      <c r="C82" s="19" t="s">
        <v>67</v>
      </c>
      <c r="D82" s="19" t="s">
        <v>67</v>
      </c>
      <c r="E82" s="19" t="s">
        <v>67</v>
      </c>
      <c r="F82" s="19" t="s">
        <v>67</v>
      </c>
      <c r="G82" s="19" t="s">
        <v>67</v>
      </c>
      <c r="H82" s="19" t="s">
        <v>67</v>
      </c>
      <c r="I82" s="19" t="s">
        <v>67</v>
      </c>
      <c r="J82" s="19" t="s">
        <v>67</v>
      </c>
      <c r="K82" s="19" t="s">
        <v>67</v>
      </c>
      <c r="L82" s="19" t="s">
        <v>67</v>
      </c>
      <c r="M82" s="19" t="s">
        <v>67</v>
      </c>
      <c r="N82" s="19" t="s">
        <v>67</v>
      </c>
    </row>
    <row r="83" spans="1:14" x14ac:dyDescent="0.45">
      <c r="A83" s="17" t="s">
        <v>85</v>
      </c>
      <c r="B83" s="19">
        <f t="shared" si="10"/>
        <v>1034039</v>
      </c>
      <c r="C83" s="21">
        <v>0</v>
      </c>
      <c r="D83" s="21">
        <v>246434</v>
      </c>
      <c r="E83" s="21">
        <v>112515</v>
      </c>
      <c r="F83" s="21">
        <v>112515</v>
      </c>
      <c r="G83" s="21">
        <v>112515</v>
      </c>
      <c r="H83" s="21">
        <v>112515</v>
      </c>
      <c r="I83" s="21">
        <v>112515</v>
      </c>
      <c r="J83" s="21">
        <v>112515</v>
      </c>
      <c r="K83" s="21">
        <v>112515</v>
      </c>
      <c r="L83" s="21">
        <v>0</v>
      </c>
      <c r="M83" s="21">
        <v>0</v>
      </c>
      <c r="N83" s="21">
        <v>0</v>
      </c>
    </row>
    <row r="84" spans="1:14" x14ac:dyDescent="0.45">
      <c r="A84" s="4" t="s">
        <v>86</v>
      </c>
      <c r="B84" s="19">
        <f t="shared" si="10"/>
        <v>0</v>
      </c>
      <c r="C84" s="19" t="s">
        <v>67</v>
      </c>
      <c r="D84" s="19" t="s">
        <v>67</v>
      </c>
      <c r="E84" s="19" t="s">
        <v>67</v>
      </c>
      <c r="F84" s="19" t="s">
        <v>67</v>
      </c>
      <c r="G84" s="19" t="s">
        <v>67</v>
      </c>
      <c r="H84" s="19" t="s">
        <v>67</v>
      </c>
      <c r="I84" s="19" t="s">
        <v>67</v>
      </c>
      <c r="J84" s="19" t="s">
        <v>67</v>
      </c>
      <c r="K84" s="19" t="s">
        <v>67</v>
      </c>
      <c r="L84" s="19" t="s">
        <v>67</v>
      </c>
      <c r="M84" s="19" t="s">
        <v>67</v>
      </c>
      <c r="N84" s="19" t="s">
        <v>67</v>
      </c>
    </row>
    <row r="85" spans="1:14" x14ac:dyDescent="0.45">
      <c r="A85" s="4" t="s">
        <v>87</v>
      </c>
      <c r="B85" s="19">
        <f t="shared" si="10"/>
        <v>0</v>
      </c>
      <c r="C85" s="19" t="s">
        <v>67</v>
      </c>
      <c r="D85" s="19" t="s">
        <v>67</v>
      </c>
      <c r="E85" s="19" t="s">
        <v>67</v>
      </c>
      <c r="F85" s="19" t="s">
        <v>67</v>
      </c>
      <c r="G85" s="19" t="s">
        <v>67</v>
      </c>
      <c r="H85" s="19" t="s">
        <v>67</v>
      </c>
      <c r="I85" s="19" t="s">
        <v>67</v>
      </c>
      <c r="J85" s="19" t="s">
        <v>67</v>
      </c>
      <c r="K85" s="19" t="s">
        <v>67</v>
      </c>
      <c r="L85" s="19" t="s">
        <v>67</v>
      </c>
      <c r="M85" s="19" t="s">
        <v>67</v>
      </c>
      <c r="N85" s="19" t="s">
        <v>67</v>
      </c>
    </row>
    <row r="86" spans="1:14" x14ac:dyDescent="0.45">
      <c r="A86" s="4" t="s">
        <v>88</v>
      </c>
      <c r="B86" s="19">
        <f t="shared" si="10"/>
        <v>0</v>
      </c>
      <c r="C86" s="19" t="s">
        <v>67</v>
      </c>
      <c r="D86" s="19" t="s">
        <v>67</v>
      </c>
      <c r="E86" s="19" t="s">
        <v>67</v>
      </c>
      <c r="F86" s="19" t="s">
        <v>67</v>
      </c>
      <c r="G86" s="19" t="s">
        <v>67</v>
      </c>
      <c r="H86" s="19" t="s">
        <v>67</v>
      </c>
      <c r="I86" s="19" t="s">
        <v>67</v>
      </c>
      <c r="J86" s="19" t="s">
        <v>67</v>
      </c>
      <c r="K86" s="19" t="s">
        <v>67</v>
      </c>
      <c r="L86" s="19" t="s">
        <v>67</v>
      </c>
      <c r="M86" s="19" t="s">
        <v>67</v>
      </c>
      <c r="N86" s="19" t="s">
        <v>67</v>
      </c>
    </row>
    <row r="87" spans="1:14" x14ac:dyDescent="0.45">
      <c r="A87" s="4" t="s">
        <v>89</v>
      </c>
      <c r="B87" s="19">
        <f t="shared" si="10"/>
        <v>0</v>
      </c>
      <c r="C87" s="19" t="s">
        <v>67</v>
      </c>
      <c r="D87" s="19" t="s">
        <v>67</v>
      </c>
      <c r="E87" s="19" t="s">
        <v>67</v>
      </c>
      <c r="F87" s="19" t="s">
        <v>67</v>
      </c>
      <c r="G87" s="19" t="s">
        <v>67</v>
      </c>
      <c r="H87" s="19" t="s">
        <v>67</v>
      </c>
      <c r="I87" s="19" t="s">
        <v>67</v>
      </c>
      <c r="J87" s="19" t="s">
        <v>67</v>
      </c>
      <c r="K87" s="19" t="s">
        <v>67</v>
      </c>
      <c r="L87" s="19" t="s">
        <v>67</v>
      </c>
      <c r="M87" s="19" t="s">
        <v>67</v>
      </c>
      <c r="N87" s="19" t="s">
        <v>67</v>
      </c>
    </row>
    <row r="88" spans="1:14" x14ac:dyDescent="0.45">
      <c r="A88" s="4" t="s">
        <v>90</v>
      </c>
      <c r="B88" s="19">
        <f t="shared" si="10"/>
        <v>107743932.80589999</v>
      </c>
      <c r="C88" s="19">
        <f t="shared" ref="C88:N88" si="11">C43*$B$34</f>
        <v>0</v>
      </c>
      <c r="D88" s="19">
        <f t="shared" si="11"/>
        <v>12624086.265299998</v>
      </c>
      <c r="E88" s="19">
        <f t="shared" si="11"/>
        <v>14760842.082300002</v>
      </c>
      <c r="F88" s="19">
        <f t="shared" si="11"/>
        <v>15615219.9728</v>
      </c>
      <c r="G88" s="19">
        <f t="shared" si="11"/>
        <v>15633692.555199999</v>
      </c>
      <c r="H88" s="19">
        <f t="shared" si="11"/>
        <v>14830027.1702</v>
      </c>
      <c r="I88" s="19">
        <f t="shared" si="11"/>
        <v>13757071.541200001</v>
      </c>
      <c r="J88" s="19">
        <f t="shared" si="11"/>
        <v>11820043.969000002</v>
      </c>
      <c r="K88" s="19">
        <f t="shared" si="11"/>
        <v>8702949.2499000002</v>
      </c>
      <c r="L88" s="19">
        <f t="shared" si="11"/>
        <v>0</v>
      </c>
      <c r="M88" s="19">
        <f t="shared" si="11"/>
        <v>0</v>
      </c>
      <c r="N88" s="19">
        <f t="shared" si="11"/>
        <v>0</v>
      </c>
    </row>
    <row r="90" spans="1:14" x14ac:dyDescent="0.45">
      <c r="A90" s="4" t="s">
        <v>91</v>
      </c>
      <c r="B90" s="19">
        <f>SUM(C90:N90)</f>
        <v>0</v>
      </c>
      <c r="C90" s="19" t="s">
        <v>67</v>
      </c>
      <c r="D90" s="19" t="s">
        <v>67</v>
      </c>
      <c r="E90" s="19" t="s">
        <v>67</v>
      </c>
      <c r="F90" s="19" t="s">
        <v>67</v>
      </c>
      <c r="G90" s="19" t="s">
        <v>67</v>
      </c>
      <c r="H90" s="19" t="s">
        <v>67</v>
      </c>
      <c r="I90" s="19" t="s">
        <v>67</v>
      </c>
      <c r="J90" s="19" t="s">
        <v>67</v>
      </c>
      <c r="K90" s="19" t="s">
        <v>67</v>
      </c>
      <c r="L90" s="19" t="s">
        <v>67</v>
      </c>
      <c r="M90" s="19" t="s">
        <v>67</v>
      </c>
      <c r="N90" s="19" t="s">
        <v>67</v>
      </c>
    </row>
    <row r="92" spans="1:14" x14ac:dyDescent="0.45">
      <c r="A92" s="3" t="s">
        <v>92</v>
      </c>
    </row>
    <row r="93" spans="1:14" x14ac:dyDescent="0.45">
      <c r="A93" s="4" t="s">
        <v>93</v>
      </c>
      <c r="B93" s="19">
        <f>SUM(C93:N93)</f>
        <v>0</v>
      </c>
      <c r="C93" s="19" t="s">
        <v>67</v>
      </c>
      <c r="D93" s="19" t="s">
        <v>67</v>
      </c>
      <c r="E93" s="19" t="s">
        <v>67</v>
      </c>
      <c r="F93" s="19" t="s">
        <v>67</v>
      </c>
      <c r="G93" s="19" t="s">
        <v>67</v>
      </c>
      <c r="H93" s="19" t="s">
        <v>67</v>
      </c>
      <c r="I93" s="19" t="s">
        <v>67</v>
      </c>
      <c r="J93" s="19" t="s">
        <v>67</v>
      </c>
      <c r="K93" s="19" t="s">
        <v>67</v>
      </c>
      <c r="L93" s="19" t="s">
        <v>67</v>
      </c>
      <c r="M93" s="19" t="s">
        <v>67</v>
      </c>
      <c r="N93" s="19" t="s">
        <v>67</v>
      </c>
    </row>
    <row r="94" spans="1:14" x14ac:dyDescent="0.45">
      <c r="A94" s="4" t="s">
        <v>94</v>
      </c>
      <c r="B94" s="19">
        <f>SUM(C94:N94)</f>
        <v>0</v>
      </c>
      <c r="C94" s="19" t="s">
        <v>67</v>
      </c>
      <c r="D94" s="19" t="s">
        <v>67</v>
      </c>
      <c r="E94" s="19" t="s">
        <v>67</v>
      </c>
      <c r="F94" s="19" t="s">
        <v>67</v>
      </c>
      <c r="G94" s="19" t="s">
        <v>67</v>
      </c>
      <c r="H94" s="19" t="s">
        <v>67</v>
      </c>
      <c r="I94" s="19" t="s">
        <v>67</v>
      </c>
      <c r="J94" s="19" t="s">
        <v>67</v>
      </c>
      <c r="K94" s="19" t="s">
        <v>67</v>
      </c>
      <c r="L94" s="19" t="s">
        <v>67</v>
      </c>
      <c r="M94" s="19" t="s">
        <v>67</v>
      </c>
      <c r="N94" s="19" t="s">
        <v>67</v>
      </c>
    </row>
    <row r="95" spans="1:14" x14ac:dyDescent="0.45">
      <c r="A95" s="4" t="s">
        <v>95</v>
      </c>
      <c r="B95" s="19">
        <f>SUM(C95:N95)</f>
        <v>511493761.8280251</v>
      </c>
      <c r="C95" s="19">
        <f>IF(1=$B$32,(B43-B83-B80-B88)*$B$26,0)</f>
        <v>0</v>
      </c>
      <c r="D95" s="19">
        <f>IF(2=$B$32,(B43-B83-B80-B88)*$B$26,0)</f>
        <v>0</v>
      </c>
      <c r="E95" s="19">
        <f>IF(3=$B$32,(B43-B83-B80-B88)*$B$26,0)</f>
        <v>0</v>
      </c>
      <c r="F95" s="19">
        <f>IF(4=$B$32,(B43-B83-B80-B88)*$B$26,0)</f>
        <v>0</v>
      </c>
      <c r="G95" s="19">
        <f>IF(5=$B$32,(B43-B83-B80-B88)*$B$26,0)</f>
        <v>0</v>
      </c>
      <c r="H95" s="19">
        <f>IF(6=$B$32,(B43-B83-B80-B88)*$B$26,0)</f>
        <v>0</v>
      </c>
      <c r="I95" s="19">
        <f>IF(7=$B$32,(B43-B83-B80-B88)*$B$26,0)</f>
        <v>0</v>
      </c>
      <c r="J95" s="19">
        <f>IF(8=$B$32,(B43-B83-B80-B88)*$B$26,0)</f>
        <v>0</v>
      </c>
      <c r="K95" s="19">
        <f>IF(9=$B$32,(B43-B83-B80-B88)*$B$26,0)</f>
        <v>511493761.8280251</v>
      </c>
      <c r="L95" s="19">
        <f>IF(10=$B$32,(B43-B83-B80-B88)*$B$26,0)</f>
        <v>0</v>
      </c>
      <c r="M95" s="19">
        <f>IF(11=$B$32,(B43-B83-B80-B88)*$B$26,0)</f>
        <v>0</v>
      </c>
      <c r="N95" s="19">
        <f>IF(12=$B$32,(B43-B83-B80-B88)*$B$26,0)</f>
        <v>0</v>
      </c>
    </row>
    <row r="97" spans="1:14" x14ac:dyDescent="0.45">
      <c r="A97" s="3" t="s">
        <v>96</v>
      </c>
    </row>
    <row r="98" spans="1:14" x14ac:dyDescent="0.45">
      <c r="A98" s="4" t="s">
        <v>97</v>
      </c>
      <c r="B98" s="19">
        <f>SUM(C98:N98)</f>
        <v>42830.083226000002</v>
      </c>
      <c r="C98" s="19">
        <f t="shared" ref="C98:N98" si="12">IF(C111&gt;0,C111*((1-C123)*$B$124+C123*$B$12)/4,0)</f>
        <v>2439.0347800000013</v>
      </c>
      <c r="D98" s="19">
        <f t="shared" si="12"/>
        <v>2647.8585280000002</v>
      </c>
      <c r="E98" s="19">
        <f t="shared" si="12"/>
        <v>3688.6222779999998</v>
      </c>
      <c r="F98" s="19">
        <f t="shared" si="12"/>
        <v>4729.3860279999999</v>
      </c>
      <c r="G98" s="19">
        <f t="shared" si="12"/>
        <v>5770.149778</v>
      </c>
      <c r="H98" s="19">
        <f t="shared" si="12"/>
        <v>6810.913528</v>
      </c>
      <c r="I98" s="19">
        <f t="shared" si="12"/>
        <v>7851.6772780000001</v>
      </c>
      <c r="J98" s="19">
        <f t="shared" si="12"/>
        <v>8892.4410279999993</v>
      </c>
      <c r="K98" s="19">
        <f t="shared" si="12"/>
        <v>0</v>
      </c>
      <c r="L98" s="19">
        <f t="shared" si="12"/>
        <v>0</v>
      </c>
      <c r="M98" s="19">
        <f t="shared" si="12"/>
        <v>0</v>
      </c>
      <c r="N98" s="19">
        <f t="shared" si="12"/>
        <v>0</v>
      </c>
    </row>
    <row r="99" spans="1:14" x14ac:dyDescent="0.45">
      <c r="A99" s="4" t="s">
        <v>98</v>
      </c>
      <c r="B99" s="19">
        <f>SUM(C99:N99)</f>
        <v>0</v>
      </c>
      <c r="C99" s="19" t="s">
        <v>67</v>
      </c>
      <c r="D99" s="19" t="s">
        <v>67</v>
      </c>
      <c r="E99" s="19" t="s">
        <v>67</v>
      </c>
      <c r="F99" s="19" t="s">
        <v>67</v>
      </c>
      <c r="G99" s="19" t="s">
        <v>67</v>
      </c>
      <c r="H99" s="19" t="s">
        <v>67</v>
      </c>
      <c r="I99" s="19" t="s">
        <v>67</v>
      </c>
      <c r="J99" s="19" t="s">
        <v>67</v>
      </c>
      <c r="K99" s="19" t="s">
        <v>67</v>
      </c>
      <c r="L99" s="19" t="s">
        <v>67</v>
      </c>
      <c r="M99" s="19" t="s">
        <v>67</v>
      </c>
      <c r="N99" s="19" t="s">
        <v>67</v>
      </c>
    </row>
    <row r="100" spans="1:14" x14ac:dyDescent="0.45">
      <c r="A100" s="4" t="s">
        <v>99</v>
      </c>
      <c r="B100" s="19">
        <f>SUM(C100:N100)</f>
        <v>10599.87363</v>
      </c>
      <c r="C100" s="19">
        <f t="shared" ref="C100:N100" si="13">C125*$B$8/4</f>
        <v>1292.5487499999999</v>
      </c>
      <c r="D100" s="19">
        <f t="shared" si="13"/>
        <v>984.50625000000002</v>
      </c>
      <c r="E100" s="19">
        <f t="shared" si="13"/>
        <v>843.86250000000007</v>
      </c>
      <c r="F100" s="19">
        <f t="shared" si="13"/>
        <v>703.21875</v>
      </c>
      <c r="G100" s="19">
        <f t="shared" si="13"/>
        <v>562.57500000000005</v>
      </c>
      <c r="H100" s="19">
        <f t="shared" si="13"/>
        <v>421.93125000000003</v>
      </c>
      <c r="I100" s="19">
        <f t="shared" si="13"/>
        <v>281.28750000000002</v>
      </c>
      <c r="J100" s="19">
        <f t="shared" si="13"/>
        <v>140.64375000000001</v>
      </c>
      <c r="K100" s="19">
        <f t="shared" si="13"/>
        <v>1342.3249700000001</v>
      </c>
      <c r="L100" s="19">
        <f t="shared" si="13"/>
        <v>1342.3249700000001</v>
      </c>
      <c r="M100" s="19">
        <f t="shared" si="13"/>
        <v>1342.3249700000001</v>
      </c>
      <c r="N100" s="19">
        <f t="shared" si="13"/>
        <v>1342.3249700000001</v>
      </c>
    </row>
    <row r="102" spans="1:14" x14ac:dyDescent="0.45">
      <c r="A102" s="6" t="s">
        <v>100</v>
      </c>
      <c r="B102" s="18">
        <f>SUM(C102:N102)</f>
        <v>-620450800.59078109</v>
      </c>
      <c r="C102" s="19">
        <f t="shared" ref="C102:N102" si="14">-(C80+C81+C82+C83+C84+C85+C86+C87+C88+C90+C93+C94+C95+C98+C99+C100)</f>
        <v>-129368.58353</v>
      </c>
      <c r="D102" s="19">
        <f t="shared" si="14"/>
        <v>-12874152.630077997</v>
      </c>
      <c r="E102" s="19">
        <f t="shared" si="14"/>
        <v>-14877889.567078002</v>
      </c>
      <c r="F102" s="19">
        <f t="shared" si="14"/>
        <v>-15733167.577577999</v>
      </c>
      <c r="G102" s="19">
        <f t="shared" si="14"/>
        <v>-15752540.279977998</v>
      </c>
      <c r="H102" s="19">
        <f t="shared" si="14"/>
        <v>-14949775.014977999</v>
      </c>
      <c r="I102" s="19">
        <f t="shared" si="14"/>
        <v>-13877719.505978001</v>
      </c>
      <c r="J102" s="19">
        <f t="shared" si="14"/>
        <v>-11941592.053778004</v>
      </c>
      <c r="K102" s="19">
        <f t="shared" si="14"/>
        <v>-520310568.40289509</v>
      </c>
      <c r="L102" s="19">
        <f t="shared" si="14"/>
        <v>-1342.3249700000001</v>
      </c>
      <c r="M102" s="19">
        <f t="shared" si="14"/>
        <v>-1342.3249700000001</v>
      </c>
      <c r="N102" s="19">
        <f t="shared" si="14"/>
        <v>-1342.3249700000001</v>
      </c>
    </row>
    <row r="104" spans="1:14" x14ac:dyDescent="0.45">
      <c r="A104" s="3" t="s">
        <v>101</v>
      </c>
    </row>
    <row r="105" spans="1:14" x14ac:dyDescent="0.45">
      <c r="A105" s="4" t="s">
        <v>102</v>
      </c>
      <c r="B105" s="23">
        <f>B83+B80+B82</f>
        <v>1159676</v>
      </c>
    </row>
    <row r="106" spans="1:14" x14ac:dyDescent="0.45">
      <c r="A106" s="4" t="s">
        <v>103</v>
      </c>
      <c r="B106" s="23">
        <f>B105*$D$25</f>
        <v>1073859.976</v>
      </c>
    </row>
    <row r="108" spans="1:14" x14ac:dyDescent="0.45">
      <c r="A108" s="3" t="s">
        <v>104</v>
      </c>
    </row>
    <row r="109" spans="1:14" x14ac:dyDescent="0.45">
      <c r="A109" s="4" t="s">
        <v>105</v>
      </c>
      <c r="B109" s="19">
        <f>SUM(C109:N109)</f>
        <v>1073859.976</v>
      </c>
      <c r="C109" s="19">
        <f>MAX(C80+C83-$B$118,0)</f>
        <v>39820.976000000024</v>
      </c>
      <c r="D109" s="19">
        <f t="shared" ref="D109:N109" si="15">IF(D80+D83&gt;0,D80+D83,0)</f>
        <v>246434</v>
      </c>
      <c r="E109" s="19">
        <f t="shared" si="15"/>
        <v>112515</v>
      </c>
      <c r="F109" s="19">
        <f t="shared" si="15"/>
        <v>112515</v>
      </c>
      <c r="G109" s="19">
        <f t="shared" si="15"/>
        <v>112515</v>
      </c>
      <c r="H109" s="19">
        <f t="shared" si="15"/>
        <v>112515</v>
      </c>
      <c r="I109" s="19">
        <f t="shared" si="15"/>
        <v>112515</v>
      </c>
      <c r="J109" s="19">
        <f t="shared" si="15"/>
        <v>112515</v>
      </c>
      <c r="K109" s="19">
        <f t="shared" si="15"/>
        <v>112515</v>
      </c>
      <c r="L109" s="19">
        <f t="shared" si="15"/>
        <v>0</v>
      </c>
      <c r="M109" s="19">
        <f t="shared" si="15"/>
        <v>0</v>
      </c>
      <c r="N109" s="19">
        <f t="shared" si="15"/>
        <v>0</v>
      </c>
    </row>
    <row r="110" spans="1:14" x14ac:dyDescent="0.45">
      <c r="A110" s="4" t="s">
        <v>106</v>
      </c>
      <c r="B110" s="19">
        <f>SUM(C110:N110)</f>
        <v>-1073859.976</v>
      </c>
      <c r="C110" s="19">
        <f>IF(1=$B$32,-C109,0)</f>
        <v>0</v>
      </c>
      <c r="D110" s="19">
        <f>IF(2=$B$32,-C111-D109,0)</f>
        <v>0</v>
      </c>
      <c r="E110" s="19">
        <f>IF(3=$B$32,-D111-E109,0)</f>
        <v>0</v>
      </c>
      <c r="F110" s="19">
        <f>IF(4=$B$32,-E111-F109,0)</f>
        <v>0</v>
      </c>
      <c r="G110" s="19">
        <f>IF(5=$B$32,-F111-G109,0)</f>
        <v>0</v>
      </c>
      <c r="H110" s="19">
        <f>IF(6=$B$32,-G111-H109,0)</f>
        <v>0</v>
      </c>
      <c r="I110" s="19">
        <f>IF(7=$B$32,-H111-I109,0)</f>
        <v>0</v>
      </c>
      <c r="J110" s="19">
        <f>IF(8=$B$32,-I111-J109,0)</f>
        <v>0</v>
      </c>
      <c r="K110" s="19">
        <f>IF(9=$B$32,-J111-K109,0)</f>
        <v>-1073859.976</v>
      </c>
      <c r="L110" s="19">
        <f>IF(10=$B$32,-K111-L109,0)</f>
        <v>0</v>
      </c>
      <c r="M110" s="19">
        <f>IF(11=$B$32,-L111-M109,0)</f>
        <v>0</v>
      </c>
      <c r="N110" s="19">
        <f>IF(12=$B$32,-M111-N109,0)</f>
        <v>0</v>
      </c>
    </row>
    <row r="111" spans="1:14" x14ac:dyDescent="0.45">
      <c r="A111" s="4" t="s">
        <v>107</v>
      </c>
      <c r="C111" s="19">
        <f>C109</f>
        <v>39820.976000000024</v>
      </c>
      <c r="D111" s="19">
        <f t="shared" ref="D111:N111" si="16">C111+D109+D110</f>
        <v>286254.97600000002</v>
      </c>
      <c r="E111" s="19">
        <f t="shared" si="16"/>
        <v>398769.97600000002</v>
      </c>
      <c r="F111" s="19">
        <f t="shared" si="16"/>
        <v>511284.97600000002</v>
      </c>
      <c r="G111" s="19">
        <f t="shared" si="16"/>
        <v>623799.97600000002</v>
      </c>
      <c r="H111" s="19">
        <f t="shared" si="16"/>
        <v>736314.97600000002</v>
      </c>
      <c r="I111" s="19">
        <f t="shared" si="16"/>
        <v>848829.97600000002</v>
      </c>
      <c r="J111" s="19">
        <f t="shared" si="16"/>
        <v>961344.97600000002</v>
      </c>
      <c r="K111" s="19">
        <f t="shared" si="16"/>
        <v>0</v>
      </c>
      <c r="L111" s="19">
        <f t="shared" si="16"/>
        <v>0</v>
      </c>
      <c r="M111" s="19">
        <f t="shared" si="16"/>
        <v>0</v>
      </c>
      <c r="N111" s="19">
        <f t="shared" si="16"/>
        <v>0</v>
      </c>
    </row>
    <row r="112" spans="1:14" x14ac:dyDescent="0.45">
      <c r="A112" s="4" t="s">
        <v>108</v>
      </c>
      <c r="C112" s="19">
        <f t="shared" ref="C112:N112" si="17">$B$106</f>
        <v>1073859.976</v>
      </c>
      <c r="D112" s="19">
        <f t="shared" si="17"/>
        <v>1073859.976</v>
      </c>
      <c r="E112" s="19">
        <f t="shared" si="17"/>
        <v>1073859.976</v>
      </c>
      <c r="F112" s="19">
        <f t="shared" si="17"/>
        <v>1073859.976</v>
      </c>
      <c r="G112" s="19">
        <f t="shared" si="17"/>
        <v>1073859.976</v>
      </c>
      <c r="H112" s="19">
        <f t="shared" si="17"/>
        <v>1073859.976</v>
      </c>
      <c r="I112" s="19">
        <f t="shared" si="17"/>
        <v>1073859.976</v>
      </c>
      <c r="J112" s="19">
        <f t="shared" si="17"/>
        <v>1073859.976</v>
      </c>
      <c r="K112" s="19">
        <f t="shared" si="17"/>
        <v>1073859.976</v>
      </c>
      <c r="L112" s="19">
        <f t="shared" si="17"/>
        <v>1073859.976</v>
      </c>
      <c r="M112" s="19">
        <f t="shared" si="17"/>
        <v>1073859.976</v>
      </c>
      <c r="N112" s="19">
        <f t="shared" si="17"/>
        <v>1073859.976</v>
      </c>
    </row>
    <row r="114" spans="1:14" x14ac:dyDescent="0.45">
      <c r="A114" s="3" t="s">
        <v>109</v>
      </c>
    </row>
    <row r="115" spans="1:14" x14ac:dyDescent="0.45">
      <c r="A115" s="4" t="s">
        <v>105</v>
      </c>
      <c r="C115" s="19" t="s">
        <v>67</v>
      </c>
      <c r="D115" s="19" t="s">
        <v>67</v>
      </c>
      <c r="E115" s="19" t="s">
        <v>67</v>
      </c>
      <c r="F115" s="19" t="s">
        <v>67</v>
      </c>
      <c r="G115" s="19" t="s">
        <v>67</v>
      </c>
      <c r="H115" s="19" t="s">
        <v>67</v>
      </c>
      <c r="I115" s="19" t="s">
        <v>67</v>
      </c>
      <c r="J115" s="19" t="s">
        <v>67</v>
      </c>
      <c r="K115" s="19" t="s">
        <v>67</v>
      </c>
      <c r="L115" s="19" t="s">
        <v>67</v>
      </c>
      <c r="M115" s="19" t="s">
        <v>67</v>
      </c>
      <c r="N115" s="19" t="s">
        <v>67</v>
      </c>
    </row>
    <row r="116" spans="1:14" x14ac:dyDescent="0.45">
      <c r="A116" s="4" t="s">
        <v>106</v>
      </c>
      <c r="C116" s="19" t="s">
        <v>67</v>
      </c>
      <c r="D116" s="19" t="s">
        <v>67</v>
      </c>
      <c r="E116" s="19" t="s">
        <v>67</v>
      </c>
      <c r="F116" s="19" t="s">
        <v>67</v>
      </c>
      <c r="G116" s="19" t="s">
        <v>67</v>
      </c>
      <c r="H116" s="19" t="s">
        <v>67</v>
      </c>
      <c r="I116" s="19" t="s">
        <v>67</v>
      </c>
      <c r="J116" s="19" t="s">
        <v>67</v>
      </c>
      <c r="K116" s="19" t="s">
        <v>67</v>
      </c>
      <c r="L116" s="19" t="s">
        <v>67</v>
      </c>
      <c r="M116" s="19" t="s">
        <v>67</v>
      </c>
      <c r="N116" s="19" t="s">
        <v>67</v>
      </c>
    </row>
    <row r="118" spans="1:14" x14ac:dyDescent="0.45">
      <c r="A118" s="3" t="s">
        <v>110</v>
      </c>
      <c r="B118" s="23">
        <f>B105-$B$106</f>
        <v>85816.023999999976</v>
      </c>
    </row>
    <row r="119" spans="1:14" x14ac:dyDescent="0.45">
      <c r="A119" s="4" t="s">
        <v>111</v>
      </c>
      <c r="C119" s="19">
        <f>$B$118</f>
        <v>85816.023999999976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</row>
    <row r="120" spans="1:14" x14ac:dyDescent="0.45">
      <c r="A120" s="4" t="s">
        <v>112</v>
      </c>
      <c r="C120" s="19" t="s">
        <v>67</v>
      </c>
      <c r="D120" s="19" t="s">
        <v>67</v>
      </c>
      <c r="E120" s="19" t="s">
        <v>67</v>
      </c>
      <c r="F120" s="19" t="s">
        <v>67</v>
      </c>
      <c r="G120" s="19" t="s">
        <v>67</v>
      </c>
      <c r="H120" s="19" t="s">
        <v>67</v>
      </c>
      <c r="I120" s="19" t="s">
        <v>67</v>
      </c>
      <c r="J120" s="19" t="s">
        <v>67</v>
      </c>
      <c r="K120" s="19" t="s">
        <v>67</v>
      </c>
      <c r="L120" s="19" t="s">
        <v>67</v>
      </c>
      <c r="M120" s="19" t="s">
        <v>67</v>
      </c>
      <c r="N120" s="19" t="s">
        <v>67</v>
      </c>
    </row>
    <row r="121" spans="1:14" x14ac:dyDescent="0.45">
      <c r="A121" s="4" t="s">
        <v>113</v>
      </c>
      <c r="C121" s="19" t="s">
        <v>67</v>
      </c>
      <c r="D121" s="19" t="s">
        <v>67</v>
      </c>
      <c r="E121" s="19" t="s">
        <v>67</v>
      </c>
      <c r="F121" s="19" t="s">
        <v>67</v>
      </c>
      <c r="G121" s="19" t="s">
        <v>67</v>
      </c>
      <c r="H121" s="19" t="s">
        <v>67</v>
      </c>
      <c r="I121" s="19" t="s">
        <v>67</v>
      </c>
      <c r="J121" s="19" t="s">
        <v>67</v>
      </c>
      <c r="K121" s="19" t="s">
        <v>67</v>
      </c>
      <c r="L121" s="19" t="s">
        <v>67</v>
      </c>
      <c r="M121" s="19" t="s">
        <v>67</v>
      </c>
      <c r="N121" s="19" t="s">
        <v>67</v>
      </c>
    </row>
    <row r="123" spans="1:14" x14ac:dyDescent="0.45">
      <c r="A123" s="4" t="s">
        <v>114</v>
      </c>
      <c r="C123" s="24">
        <f t="shared" ref="C123:N123" si="18">IF(C111&gt;0,MIN(ABS(C74)/C111,1),0)</f>
        <v>0</v>
      </c>
      <c r="D123" s="24">
        <f t="shared" si="18"/>
        <v>1</v>
      </c>
      <c r="E123" s="24">
        <f t="shared" si="18"/>
        <v>1</v>
      </c>
      <c r="F123" s="24">
        <f t="shared" si="18"/>
        <v>1</v>
      </c>
      <c r="G123" s="24">
        <f t="shared" si="18"/>
        <v>1</v>
      </c>
      <c r="H123" s="24">
        <f t="shared" si="18"/>
        <v>1</v>
      </c>
      <c r="I123" s="24">
        <f t="shared" si="18"/>
        <v>1</v>
      </c>
      <c r="J123" s="24">
        <f t="shared" si="18"/>
        <v>1</v>
      </c>
      <c r="K123" s="24">
        <f t="shared" si="18"/>
        <v>0</v>
      </c>
      <c r="L123" s="24">
        <f t="shared" si="18"/>
        <v>0</v>
      </c>
      <c r="M123" s="24">
        <f t="shared" si="18"/>
        <v>0</v>
      </c>
      <c r="N123" s="24">
        <f t="shared" si="18"/>
        <v>0</v>
      </c>
    </row>
    <row r="124" spans="1:14" x14ac:dyDescent="0.45">
      <c r="A124" s="4" t="s">
        <v>115</v>
      </c>
      <c r="B124" s="25">
        <f>$B$28+$B$10</f>
        <v>0.245</v>
      </c>
    </row>
    <row r="125" spans="1:14" x14ac:dyDescent="0.45">
      <c r="A125" s="4" t="s">
        <v>116</v>
      </c>
      <c r="C125" s="19">
        <f t="shared" ref="C125:N125" si="19">MAX($B$106-C111,0)</f>
        <v>1034039</v>
      </c>
      <c r="D125" s="19">
        <f t="shared" si="19"/>
        <v>787605</v>
      </c>
      <c r="E125" s="19">
        <f t="shared" si="19"/>
        <v>675090</v>
      </c>
      <c r="F125" s="19">
        <f t="shared" si="19"/>
        <v>562575</v>
      </c>
      <c r="G125" s="19">
        <f t="shared" si="19"/>
        <v>450060</v>
      </c>
      <c r="H125" s="19">
        <f t="shared" si="19"/>
        <v>337545</v>
      </c>
      <c r="I125" s="19">
        <f t="shared" si="19"/>
        <v>225030</v>
      </c>
      <c r="J125" s="19">
        <f t="shared" si="19"/>
        <v>112515</v>
      </c>
      <c r="K125" s="19">
        <f t="shared" si="19"/>
        <v>1073859.976</v>
      </c>
      <c r="L125" s="19">
        <f t="shared" si="19"/>
        <v>1073859.976</v>
      </c>
      <c r="M125" s="19">
        <f t="shared" si="19"/>
        <v>1073859.976</v>
      </c>
      <c r="N125" s="19">
        <f t="shared" si="19"/>
        <v>1073859.976</v>
      </c>
    </row>
    <row r="126" spans="1:14" x14ac:dyDescent="0.45">
      <c r="A126" s="6" t="s">
        <v>117</v>
      </c>
      <c r="B126" s="18">
        <f>SUM(C126:N126)</f>
        <v>53429.956856000004</v>
      </c>
      <c r="C126" s="19">
        <f t="shared" ref="C126:N126" si="20">C98+C99+C100</f>
        <v>3731.5835300000012</v>
      </c>
      <c r="D126" s="19">
        <f t="shared" si="20"/>
        <v>3632.3647780000001</v>
      </c>
      <c r="E126" s="19">
        <f t="shared" si="20"/>
        <v>4532.484778</v>
      </c>
      <c r="F126" s="19">
        <f t="shared" si="20"/>
        <v>5432.6047779999999</v>
      </c>
      <c r="G126" s="19">
        <f t="shared" si="20"/>
        <v>6332.7247779999998</v>
      </c>
      <c r="H126" s="19">
        <f t="shared" si="20"/>
        <v>7232.8447779999997</v>
      </c>
      <c r="I126" s="19">
        <f t="shared" si="20"/>
        <v>8132.9647780000005</v>
      </c>
      <c r="J126" s="19">
        <f t="shared" si="20"/>
        <v>9033.0847779999986</v>
      </c>
      <c r="K126" s="19">
        <f t="shared" si="20"/>
        <v>1342.3249700000001</v>
      </c>
      <c r="L126" s="19">
        <f t="shared" si="20"/>
        <v>1342.3249700000001</v>
      </c>
      <c r="M126" s="19">
        <f t="shared" si="20"/>
        <v>1342.3249700000001</v>
      </c>
      <c r="N126" s="19">
        <f t="shared" si="20"/>
        <v>1342.3249700000001</v>
      </c>
    </row>
    <row r="128" spans="1:14" x14ac:dyDescent="0.45">
      <c r="A128" s="3" t="s">
        <v>118</v>
      </c>
    </row>
    <row r="129" spans="1:14" x14ac:dyDescent="0.45">
      <c r="A129" s="6" t="s">
        <v>119</v>
      </c>
      <c r="B129" s="18">
        <f>SUM(C129:N129)</f>
        <v>1534513671.551219</v>
      </c>
      <c r="C129" s="19">
        <f t="shared" ref="C129:N129" si="21">C43+C102+C109+C110+C119+C120+C121</f>
        <v>-3731.5835300000035</v>
      </c>
      <c r="D129" s="19">
        <f t="shared" si="21"/>
        <v>239854006.67592198</v>
      </c>
      <c r="E129" s="19">
        <f t="shared" si="21"/>
        <v>280451467.07892203</v>
      </c>
      <c r="F129" s="19">
        <f t="shared" si="21"/>
        <v>296683746.87842196</v>
      </c>
      <c r="G129" s="19">
        <f t="shared" si="21"/>
        <v>297033825.824022</v>
      </c>
      <c r="H129" s="19">
        <f t="shared" si="21"/>
        <v>281763283.38902199</v>
      </c>
      <c r="I129" s="19">
        <f t="shared" si="21"/>
        <v>261376226.31802201</v>
      </c>
      <c r="J129" s="19">
        <f t="shared" si="21"/>
        <v>224571802.32622203</v>
      </c>
      <c r="K129" s="19">
        <f t="shared" si="21"/>
        <v>-347212928.38089508</v>
      </c>
      <c r="L129" s="19">
        <f t="shared" si="21"/>
        <v>-1342.3249700000001</v>
      </c>
      <c r="M129" s="19">
        <f t="shared" si="21"/>
        <v>-1342.3249700000001</v>
      </c>
      <c r="N129" s="19">
        <f t="shared" si="21"/>
        <v>-1342.3249700000001</v>
      </c>
    </row>
    <row r="130" spans="1:14" x14ac:dyDescent="0.45">
      <c r="A130" s="6" t="s">
        <v>120</v>
      </c>
      <c r="B130" s="26">
        <f>B129</f>
        <v>1534513671.551219</v>
      </c>
      <c r="C130" s="19">
        <f>C129</f>
        <v>-3731.5835300000035</v>
      </c>
      <c r="D130" s="19">
        <f t="shared" ref="D130:N130" si="22">C130+D129</f>
        <v>239850275.09239197</v>
      </c>
      <c r="E130" s="19">
        <f t="shared" si="22"/>
        <v>520301742.171314</v>
      </c>
      <c r="F130" s="19">
        <f t="shared" si="22"/>
        <v>816985489.04973602</v>
      </c>
      <c r="G130" s="19">
        <f t="shared" si="22"/>
        <v>1114019314.8737581</v>
      </c>
      <c r="H130" s="19">
        <f t="shared" si="22"/>
        <v>1395782598.2627802</v>
      </c>
      <c r="I130" s="19">
        <f t="shared" si="22"/>
        <v>1657158824.5808022</v>
      </c>
      <c r="J130" s="19">
        <f t="shared" si="22"/>
        <v>1881730626.9070241</v>
      </c>
      <c r="K130" s="19">
        <f t="shared" si="22"/>
        <v>1534517698.526129</v>
      </c>
      <c r="L130" s="19">
        <f t="shared" si="22"/>
        <v>1534516356.201159</v>
      </c>
      <c r="M130" s="19">
        <f t="shared" si="22"/>
        <v>1534515013.876189</v>
      </c>
      <c r="N130" s="19">
        <f t="shared" si="22"/>
        <v>1534513671.551219</v>
      </c>
    </row>
    <row r="132" spans="1:14" x14ac:dyDescent="0.45">
      <c r="A132" s="4" t="s">
        <v>121</v>
      </c>
    </row>
    <row r="133" spans="1:14" x14ac:dyDescent="0.45">
      <c r="A133" s="4" t="s">
        <v>122</v>
      </c>
      <c r="C133" s="27">
        <f t="shared" ref="C133:N133" si="23">IFERROR(C134/C98,0)</f>
        <v>-3.0598854600999177</v>
      </c>
      <c r="D133" s="27">
        <f t="shared" si="23"/>
        <v>-4770.4025201062395</v>
      </c>
      <c r="E133" s="27">
        <f t="shared" si="23"/>
        <v>-4004.1798641048067</v>
      </c>
      <c r="F133" s="27">
        <f t="shared" si="23"/>
        <v>-3304.0409663839769</v>
      </c>
      <c r="G133" s="27">
        <f t="shared" si="23"/>
        <v>-2711.6034430182858</v>
      </c>
      <c r="H133" s="27">
        <f t="shared" si="23"/>
        <v>-2179.5156844569469</v>
      </c>
      <c r="I133" s="27">
        <f t="shared" si="23"/>
        <v>-1754.190472059797</v>
      </c>
      <c r="J133" s="27">
        <f t="shared" si="23"/>
        <v>-1331.2554000955254</v>
      </c>
      <c r="K133" s="27">
        <f t="shared" si="23"/>
        <v>0</v>
      </c>
      <c r="L133" s="27">
        <f t="shared" si="23"/>
        <v>0</v>
      </c>
      <c r="M133" s="27">
        <f t="shared" si="23"/>
        <v>0</v>
      </c>
      <c r="N133" s="27">
        <f t="shared" si="23"/>
        <v>0</v>
      </c>
    </row>
    <row r="134" spans="1:14" x14ac:dyDescent="0.45">
      <c r="A134" s="6" t="s">
        <v>123</v>
      </c>
      <c r="B134" s="18">
        <f>SUM(C134:N134)</f>
        <v>1535534101.5703635</v>
      </c>
      <c r="C134" s="19">
        <f t="shared" ref="C134:N134" si="24">C43+C75+C76+C102+C109+C119+C120+C121-C126</f>
        <v>-7463.1670600000052</v>
      </c>
      <c r="D134" s="19">
        <f t="shared" si="24"/>
        <v>-12631350.994855998</v>
      </c>
      <c r="E134" s="19">
        <f t="shared" si="24"/>
        <v>-14769907.051856002</v>
      </c>
      <c r="F134" s="19">
        <f t="shared" si="24"/>
        <v>-15626085.182355998</v>
      </c>
      <c r="G134" s="19">
        <f t="shared" si="24"/>
        <v>-15646358.004755998</v>
      </c>
      <c r="H134" s="19">
        <f t="shared" si="24"/>
        <v>-14844492.859755998</v>
      </c>
      <c r="I134" s="19">
        <f t="shared" si="24"/>
        <v>-13773337.470756002</v>
      </c>
      <c r="J134" s="19">
        <f t="shared" si="24"/>
        <v>-11838110.138556004</v>
      </c>
      <c r="K134" s="19">
        <f t="shared" si="24"/>
        <v>1634679260.3901355</v>
      </c>
      <c r="L134" s="19">
        <f t="shared" si="24"/>
        <v>-2684.6499400000002</v>
      </c>
      <c r="M134" s="19">
        <f t="shared" si="24"/>
        <v>-2684.6499400000002</v>
      </c>
      <c r="N134" s="19">
        <f t="shared" si="24"/>
        <v>-2684.6499400000002</v>
      </c>
    </row>
    <row r="135" spans="1:14" x14ac:dyDescent="0.45">
      <c r="A135" s="6" t="s">
        <v>124</v>
      </c>
      <c r="B135" s="26">
        <f>ABS(B110)+B126</f>
        <v>1127289.932856</v>
      </c>
    </row>
    <row r="136" spans="1:14" ht="15.4" x14ac:dyDescent="0.45">
      <c r="A136" s="28" t="s">
        <v>125</v>
      </c>
      <c r="B136" s="29">
        <f>IFERROR(B134/B135,0)</f>
        <v>1362.14655770062</v>
      </c>
    </row>
    <row r="137" spans="1:14" x14ac:dyDescent="0.45">
      <c r="A137" s="6" t="s">
        <v>126</v>
      </c>
      <c r="B137" s="30">
        <f>IFERROR((B134+B95)/B135,0)</f>
        <v>1815.8840984343963</v>
      </c>
    </row>
    <row r="139" spans="1:14" x14ac:dyDescent="0.45">
      <c r="A139" s="3" t="s">
        <v>127</v>
      </c>
    </row>
    <row r="140" spans="1:14" x14ac:dyDescent="0.45">
      <c r="A140" s="4" t="s">
        <v>105</v>
      </c>
      <c r="C140" s="19" t="s">
        <v>67</v>
      </c>
      <c r="D140" s="19" t="s">
        <v>67</v>
      </c>
      <c r="E140" s="19" t="s">
        <v>67</v>
      </c>
      <c r="F140" s="19" t="s">
        <v>67</v>
      </c>
      <c r="G140" s="19" t="s">
        <v>67</v>
      </c>
      <c r="H140" s="19" t="s">
        <v>67</v>
      </c>
      <c r="I140" s="19" t="s">
        <v>67</v>
      </c>
      <c r="J140" s="19" t="s">
        <v>67</v>
      </c>
      <c r="K140" s="19" t="s">
        <v>67</v>
      </c>
      <c r="L140" s="19" t="s">
        <v>67</v>
      </c>
      <c r="M140" s="19" t="s">
        <v>67</v>
      </c>
      <c r="N140" s="19" t="s">
        <v>67</v>
      </c>
    </row>
    <row r="141" spans="1:14" x14ac:dyDescent="0.45">
      <c r="A141" s="4" t="s">
        <v>106</v>
      </c>
      <c r="C141" s="19" t="s">
        <v>67</v>
      </c>
      <c r="D141" s="19" t="s">
        <v>67</v>
      </c>
      <c r="E141" s="19" t="s">
        <v>67</v>
      </c>
      <c r="F141" s="19" t="s">
        <v>67</v>
      </c>
      <c r="G141" s="19" t="s">
        <v>67</v>
      </c>
      <c r="H141" s="19" t="s">
        <v>67</v>
      </c>
      <c r="I141" s="19" t="s">
        <v>67</v>
      </c>
      <c r="J141" s="19" t="s">
        <v>67</v>
      </c>
      <c r="K141" s="19" t="s">
        <v>67</v>
      </c>
      <c r="L141" s="19" t="s">
        <v>67</v>
      </c>
      <c r="M141" s="19" t="s">
        <v>67</v>
      </c>
      <c r="N141" s="19" t="s">
        <v>67</v>
      </c>
    </row>
    <row r="142" spans="1:14" x14ac:dyDescent="0.45">
      <c r="A142" s="4" t="s">
        <v>107</v>
      </c>
      <c r="C142" s="19" t="s">
        <v>67</v>
      </c>
      <c r="D142" s="19" t="s">
        <v>67</v>
      </c>
      <c r="E142" s="19" t="s">
        <v>67</v>
      </c>
      <c r="F142" s="19" t="s">
        <v>67</v>
      </c>
      <c r="G142" s="19" t="s">
        <v>67</v>
      </c>
      <c r="H142" s="19" t="s">
        <v>67</v>
      </c>
      <c r="I142" s="19" t="s">
        <v>67</v>
      </c>
      <c r="J142" s="19" t="s">
        <v>67</v>
      </c>
      <c r="K142" s="19" t="s">
        <v>67</v>
      </c>
      <c r="L142" s="19" t="s">
        <v>67</v>
      </c>
      <c r="M142" s="19" t="s">
        <v>67</v>
      </c>
      <c r="N142" s="19" t="s">
        <v>67</v>
      </c>
    </row>
    <row r="143" spans="1:14" x14ac:dyDescent="0.45">
      <c r="A143" s="4" t="s">
        <v>108</v>
      </c>
      <c r="C143" s="19" t="s">
        <v>67</v>
      </c>
      <c r="D143" s="19" t="s">
        <v>67</v>
      </c>
      <c r="E143" s="19" t="s">
        <v>67</v>
      </c>
      <c r="F143" s="19" t="s">
        <v>67</v>
      </c>
      <c r="G143" s="19" t="s">
        <v>67</v>
      </c>
      <c r="H143" s="19" t="s">
        <v>67</v>
      </c>
      <c r="I143" s="19" t="s">
        <v>67</v>
      </c>
      <c r="J143" s="19" t="s">
        <v>67</v>
      </c>
      <c r="K143" s="19" t="s">
        <v>67</v>
      </c>
      <c r="L143" s="19" t="s">
        <v>67</v>
      </c>
      <c r="M143" s="19" t="s">
        <v>67</v>
      </c>
      <c r="N143" s="19" t="s">
        <v>67</v>
      </c>
    </row>
    <row r="144" spans="1:14" x14ac:dyDescent="0.45">
      <c r="A144" s="4" t="s">
        <v>97</v>
      </c>
      <c r="C144" s="19" t="s">
        <v>67</v>
      </c>
      <c r="D144" s="19" t="s">
        <v>67</v>
      </c>
      <c r="E144" s="19" t="s">
        <v>67</v>
      </c>
      <c r="F144" s="19" t="s">
        <v>67</v>
      </c>
      <c r="G144" s="19" t="s">
        <v>67</v>
      </c>
      <c r="H144" s="19" t="s">
        <v>67</v>
      </c>
      <c r="I144" s="19" t="s">
        <v>67</v>
      </c>
      <c r="J144" s="19" t="s">
        <v>67</v>
      </c>
      <c r="K144" s="19" t="s">
        <v>67</v>
      </c>
      <c r="L144" s="19" t="s">
        <v>67</v>
      </c>
      <c r="M144" s="19" t="s">
        <v>67</v>
      </c>
      <c r="N144" s="19" t="s">
        <v>67</v>
      </c>
    </row>
    <row r="145" spans="1:14" x14ac:dyDescent="0.45">
      <c r="A145" s="4" t="s">
        <v>98</v>
      </c>
      <c r="C145" s="19" t="s">
        <v>67</v>
      </c>
      <c r="D145" s="19" t="s">
        <v>67</v>
      </c>
      <c r="E145" s="19" t="s">
        <v>67</v>
      </c>
      <c r="F145" s="19" t="s">
        <v>67</v>
      </c>
      <c r="G145" s="19" t="s">
        <v>67</v>
      </c>
      <c r="H145" s="19" t="s">
        <v>67</v>
      </c>
      <c r="I145" s="19" t="s">
        <v>67</v>
      </c>
      <c r="J145" s="19" t="s">
        <v>67</v>
      </c>
      <c r="K145" s="19" t="s">
        <v>67</v>
      </c>
      <c r="L145" s="19" t="s">
        <v>67</v>
      </c>
      <c r="M145" s="19" t="s">
        <v>67</v>
      </c>
      <c r="N145" s="19" t="s">
        <v>67</v>
      </c>
    </row>
    <row r="147" spans="1:14" x14ac:dyDescent="0.45">
      <c r="A147" s="6" t="s">
        <v>128</v>
      </c>
      <c r="B147" s="26">
        <f>B129</f>
        <v>1534513671.551219</v>
      </c>
    </row>
    <row r="148" spans="1:14" x14ac:dyDescent="0.45">
      <c r="A148" s="6" t="s">
        <v>129</v>
      </c>
      <c r="B148" s="26">
        <f>B130</f>
        <v>1534513671.551219</v>
      </c>
    </row>
    <row r="150" spans="1:14" x14ac:dyDescent="0.45">
      <c r="A150" s="3" t="s">
        <v>130</v>
      </c>
    </row>
    <row r="151" spans="1:14" x14ac:dyDescent="0.45">
      <c r="A151" s="4" t="s">
        <v>131</v>
      </c>
      <c r="B151" s="23">
        <f>B105</f>
        <v>1159676</v>
      </c>
      <c r="C151" s="25">
        <v>1</v>
      </c>
    </row>
    <row r="152" spans="1:14" x14ac:dyDescent="0.45">
      <c r="A152" s="4" t="s">
        <v>132</v>
      </c>
      <c r="B152" s="23">
        <f>B106</f>
        <v>1073859.976</v>
      </c>
      <c r="C152" s="25">
        <f>$D$25</f>
        <v>0.92600000000000005</v>
      </c>
    </row>
    <row r="153" spans="1:14" x14ac:dyDescent="0.45">
      <c r="A153" s="4" t="s">
        <v>133</v>
      </c>
      <c r="B153" s="23">
        <f>B118</f>
        <v>85816.023999999976</v>
      </c>
      <c r="C153" s="25">
        <f>1-$D$25</f>
        <v>7.3999999999999955E-2</v>
      </c>
    </row>
    <row r="154" spans="1:14" x14ac:dyDescent="0.45">
      <c r="A154" s="4" t="s">
        <v>134</v>
      </c>
      <c r="B154" s="23">
        <f>B80</f>
        <v>125637</v>
      </c>
    </row>
    <row r="156" spans="1:14" x14ac:dyDescent="0.45">
      <c r="A156" s="3" t="s">
        <v>135</v>
      </c>
      <c r="C156" s="31" t="s">
        <v>136</v>
      </c>
      <c r="D156" s="32" t="s">
        <v>137</v>
      </c>
      <c r="E156" s="32" t="s">
        <v>138</v>
      </c>
      <c r="F156" s="32" t="s">
        <v>139</v>
      </c>
    </row>
    <row r="157" spans="1:14" x14ac:dyDescent="0.45">
      <c r="A157" s="4" t="s">
        <v>140</v>
      </c>
      <c r="B157" s="23">
        <f>$B$46</f>
        <v>11113</v>
      </c>
      <c r="C157" s="9">
        <v>168</v>
      </c>
      <c r="D157" s="23">
        <f>B157*C157</f>
        <v>1866984</v>
      </c>
      <c r="E157" s="8">
        <v>0.3</v>
      </c>
      <c r="F157" s="23">
        <f>D157*(1-E157)</f>
        <v>1306888.7999999998</v>
      </c>
    </row>
    <row r="158" spans="1:14" x14ac:dyDescent="0.45">
      <c r="A158" s="4" t="s">
        <v>141</v>
      </c>
      <c r="B158" s="23">
        <v>0</v>
      </c>
      <c r="C158" s="9">
        <v>0</v>
      </c>
      <c r="D158" s="23">
        <f>B158*C158</f>
        <v>0</v>
      </c>
      <c r="E158" s="8">
        <v>0.35</v>
      </c>
      <c r="F158" s="23">
        <f>D158*(1-E158)</f>
        <v>0</v>
      </c>
    </row>
    <row r="159" spans="1:14" x14ac:dyDescent="0.45">
      <c r="A159" s="4" t="s">
        <v>142</v>
      </c>
      <c r="B159" s="23">
        <f>$B$57</f>
        <v>500</v>
      </c>
      <c r="C159" s="9">
        <v>170</v>
      </c>
      <c r="D159" s="23">
        <f>B159*C159</f>
        <v>85000</v>
      </c>
      <c r="E159" s="8">
        <v>0.3</v>
      </c>
      <c r="F159" s="23">
        <f>D159*(1-E159)</f>
        <v>59499.999999999993</v>
      </c>
    </row>
    <row r="160" spans="1:14" x14ac:dyDescent="0.45">
      <c r="A160" s="4" t="s">
        <v>143</v>
      </c>
      <c r="B160" s="23">
        <f>$B$62</f>
        <v>40</v>
      </c>
      <c r="C160" s="9">
        <v>850</v>
      </c>
      <c r="D160" s="23">
        <f>B160*C160</f>
        <v>34000</v>
      </c>
      <c r="E160" s="8">
        <v>0.35</v>
      </c>
      <c r="F160" s="23">
        <f>D160*(1-E160)</f>
        <v>22100</v>
      </c>
    </row>
    <row r="161" spans="1:14" x14ac:dyDescent="0.45">
      <c r="A161" s="4" t="s">
        <v>144</v>
      </c>
      <c r="B161" s="23">
        <f>$B$67</f>
        <v>218</v>
      </c>
      <c r="C161" s="9">
        <v>150</v>
      </c>
      <c r="D161" s="23">
        <f>B161*C161</f>
        <v>32700</v>
      </c>
      <c r="E161" s="8">
        <v>0.35</v>
      </c>
      <c r="F161" s="23">
        <f>D161*(1-E161)</f>
        <v>21255</v>
      </c>
    </row>
    <row r="162" spans="1:14" x14ac:dyDescent="0.45">
      <c r="A162" s="6" t="s">
        <v>145</v>
      </c>
      <c r="D162" s="23">
        <f>SUM(D157:D161)</f>
        <v>2018684</v>
      </c>
      <c r="E162" s="25">
        <v>0.3</v>
      </c>
      <c r="F162" s="23">
        <f>SUM(F157:F161)</f>
        <v>1409743.7999999998</v>
      </c>
    </row>
    <row r="163" spans="1:14" x14ac:dyDescent="0.45">
      <c r="A163" s="4" t="s">
        <v>146</v>
      </c>
      <c r="B163" s="23">
        <f>B106+B126</f>
        <v>1127289.932856</v>
      </c>
    </row>
    <row r="164" spans="1:14" x14ac:dyDescent="0.45">
      <c r="A164" s="6" t="s">
        <v>147</v>
      </c>
      <c r="B164" s="33">
        <f>IFERROR(F162/B163,0)</f>
        <v>1.2505600900989156</v>
      </c>
    </row>
    <row r="166" spans="1:14" x14ac:dyDescent="0.45">
      <c r="A166" s="3" t="s">
        <v>148</v>
      </c>
    </row>
    <row r="167" spans="1:14" x14ac:dyDescent="0.45">
      <c r="A167" s="4" t="s">
        <v>149</v>
      </c>
      <c r="B167" s="23">
        <f>$B$18</f>
        <v>17946</v>
      </c>
      <c r="C167" s="12">
        <f>B83/B18</f>
        <v>57.619469519670119</v>
      </c>
    </row>
    <row r="168" spans="1:14" x14ac:dyDescent="0.45">
      <c r="A168" s="4" t="s">
        <v>150</v>
      </c>
      <c r="B168" s="23">
        <f>$B$46</f>
        <v>11113</v>
      </c>
      <c r="C168" s="12">
        <f>B105/B46</f>
        <v>104.35309997300459</v>
      </c>
    </row>
    <row r="170" spans="1:14" x14ac:dyDescent="0.45">
      <c r="A170" s="3" t="s">
        <v>151</v>
      </c>
    </row>
    <row r="171" spans="1:14" x14ac:dyDescent="0.45">
      <c r="A171" s="4" t="s">
        <v>152</v>
      </c>
      <c r="B171" s="13">
        <f>IFERROR(B126/SUMPRODUCT((C111:N111&gt;0)*(C111:N111))*4,0)</f>
        <v>4.8501910447587011E-2</v>
      </c>
      <c r="C171" s="34">
        <f>IFERROR(SUM($C$126:C126)/SUMPRODUCT(($C$111:C111&gt;0)*($C$111:C111))*4,0)</f>
        <v>0.37483596886223974</v>
      </c>
      <c r="D171" s="34">
        <f>IFERROR(SUM($C$126:D126)/SUMPRODUCT(($C$111:D111&gt;0)*($C$111:D111))*4,0)</f>
        <v>9.03341477693516E-2</v>
      </c>
      <c r="E171" s="34">
        <f>IFERROR(SUM($C$126:E126)/SUMPRODUCT(($C$111:E111&gt;0)*($C$111:E111))*4,0)</f>
        <v>6.5649444255414233E-2</v>
      </c>
      <c r="F171" s="34">
        <f>IFERROR(SUM($C$126:F126)/SUMPRODUCT(($C$111:F111&gt;0)*($C$111:F111))*4,0)</f>
        <v>5.6075089807802431E-2</v>
      </c>
      <c r="G171" s="34">
        <f>IFERROR(SUM($C$126:G126)/SUMPRODUCT(($C$111:G111&gt;0)*($C$111:G111))*4,0)</f>
        <v>5.0887402099587697E-2</v>
      </c>
      <c r="H171" s="34">
        <f>IFERROR(SUM($C$126:H126)/SUMPRODUCT(($C$111:H111&gt;0)*($C$111:H111))*4,0)</f>
        <v>4.7598893376914454E-2</v>
      </c>
      <c r="I171" s="34">
        <f>IFERROR(SUM($C$126:I126)/SUMPRODUCT(($C$111:I111&gt;0)*($C$111:I111))*4,0)</f>
        <v>4.5314035569827188E-2</v>
      </c>
      <c r="J171" s="34">
        <f>IFERROR(SUM($C$126:J126)/SUMPRODUCT(($C$111:J111&gt;0)*($C$111:J111))*4,0)</f>
        <v>4.3627841343472522E-2</v>
      </c>
      <c r="K171" s="34">
        <f>IFERROR(SUM($C$126:K126)/SUMPRODUCT(($C$111:K111&gt;0)*($C$111:K111))*4,0)</f>
        <v>4.4846358619501141E-2</v>
      </c>
      <c r="L171" s="34">
        <f>IFERROR(SUM($C$126:L126)/SUMPRODUCT(($C$111:L111&gt;0)*($C$111:L111))*4,0)</f>
        <v>4.6064875895529767E-2</v>
      </c>
      <c r="M171" s="34">
        <f>IFERROR(SUM($C$126:M126)/SUMPRODUCT(($C$111:M111&gt;0)*($C$111:M111))*4,0)</f>
        <v>4.7283393171558392E-2</v>
      </c>
      <c r="N171" s="34">
        <f>IFERROR(SUM($C$126:N126)/SUMPRODUCT(($C$111:N111&gt;0)*($C$111:N111))*4,0)</f>
        <v>4.8501910447587011E-2</v>
      </c>
    </row>
    <row r="173" spans="1:14" x14ac:dyDescent="0.45">
      <c r="A173" s="3" t="s">
        <v>153</v>
      </c>
    </row>
    <row r="174" spans="1:14" x14ac:dyDescent="0.45">
      <c r="A174" s="4" t="s">
        <v>154</v>
      </c>
      <c r="B174" s="6" t="str">
        <f>IF(ABS(B110)&gt;=B106,"ДА","НЕТ")</f>
        <v>ДА</v>
      </c>
    </row>
    <row r="175" spans="1:14" x14ac:dyDescent="0.45">
      <c r="A175" s="4" t="s">
        <v>155</v>
      </c>
      <c r="B175" s="6" t="str">
        <f>IF(B164&gt;=1,"ДА","НЕТ")</f>
        <v>ДА</v>
      </c>
    </row>
    <row r="176" spans="1:14" x14ac:dyDescent="0.45">
      <c r="A176" s="4" t="s">
        <v>156</v>
      </c>
      <c r="B176" s="6" t="str">
        <f>IF(B136&gt;=1.15,"ДА","НЕТ")</f>
        <v>ДА</v>
      </c>
    </row>
    <row r="177" spans="1:2" x14ac:dyDescent="0.45">
      <c r="A177" s="4" t="s">
        <v>157</v>
      </c>
      <c r="B177" s="6" t="str">
        <f>IF(B136&gt;=1.2,"ДА","НЕТ")</f>
        <v>ДА</v>
      </c>
    </row>
  </sheetData>
  <conditionalFormatting sqref="B174:B177">
    <cfRule type="cellIs" dxfId="1" priority="2" operator="equal">
      <formula>"ДА"</formula>
    </cfRule>
    <cfRule type="cellIs" dxfId="0" priority="3" operator="equal">
      <formula>"НЕТ"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Полицын Владислав Олегович</cp:lastModifiedBy>
  <cp:revision>0</cp:revision>
  <dcterms:created xsi:type="dcterms:W3CDTF">2026-03-13T07:23:25Z</dcterms:created>
  <dcterms:modified xsi:type="dcterms:W3CDTF">2026-03-13T07:28:14Z</dcterms:modified>
  <dc:language>en-US</dc:language>
</cp:coreProperties>
</file>